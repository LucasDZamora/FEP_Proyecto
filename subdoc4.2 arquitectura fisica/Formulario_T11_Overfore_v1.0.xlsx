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b5b7472b5444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ómo usarlo (interno)" sheetId="1" r:id="R3e348b5c3d344ba7"/>
    <x:sheet xmlns:r="http://schemas.openxmlformats.org/officeDocument/2006/relationships" name="FORMULARIO T-11" sheetId="2" r:id="R0dc3a163a8694144"/>
    <x:sheet xmlns:r="http://schemas.openxmlformats.org/officeDocument/2006/relationships" name="Fichas técnicas" sheetId="3" r:id="R469a8734da524e4b"/>
    <x:sheet xmlns:r="http://schemas.openxmlformats.org/officeDocument/2006/relationships" name="Dimensionamiento" sheetId="4" r:id="R433636cddc99495a"/>
    <x:sheet xmlns:r="http://schemas.openxmlformats.org/officeDocument/2006/relationships" name="Responsabilidades" sheetId="5" r:id="Rb9710666f34e40a4"/>
    <x:sheet xmlns:r="http://schemas.openxmlformats.org/officeDocument/2006/relationships" name="Fuentes" sheetId="6" r:id="Reb0c735ae2d54f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65D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9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EF4F8"/>
      </x:patternFill>
    </x:fill>
  </x:fills>
  <x:borders count="6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/>
    </x:xf>
    <x:xf numFmtId="200" fontId="6" fillId="0" borderId="4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3cc0b2e5b8468c" /><Relationship Type="http://schemas.openxmlformats.org/officeDocument/2006/relationships/theme" Target="/xl/theme/theme1.xml" Id="R89c8185bed92463b" /><Relationship Type="http://schemas.openxmlformats.org/officeDocument/2006/relationships/sharedStrings" Target="/xl/sharedStrings.xml" Id="R4ff68c0fb8fc4c4b" /><Relationship Type="http://schemas.openxmlformats.org/officeDocument/2006/relationships/worksheet" Target="/xl/worksheets/sheet1.xml" Id="R3e348b5c3d344ba7" /><Relationship Type="http://schemas.openxmlformats.org/officeDocument/2006/relationships/worksheet" Target="/xl/worksheets/sheet2.xml" Id="R0dc3a163a8694144" /><Relationship Type="http://schemas.openxmlformats.org/officeDocument/2006/relationships/worksheet" Target="/xl/worksheets/sheet3.xml" Id="R469a8734da524e4b" /><Relationship Type="http://schemas.openxmlformats.org/officeDocument/2006/relationships/worksheet" Target="/xl/worksheets/sheet4.xml" Id="R433636cddc99495a" /><Relationship Type="http://schemas.openxmlformats.org/officeDocument/2006/relationships/worksheet" Target="/xl/worksheets/sheet5.xml" Id="Rb9710666f34e40a4" /><Relationship Type="http://schemas.openxmlformats.org/officeDocument/2006/relationships/worksheet" Target="/xl/worksheets/sheet6.xml" Id="Reb0c735ae2d54ff4" /></Relationships>
</file>

<file path=xl/tables/table1.xml><?xml version="1.0" encoding="utf-8"?>
<x:table xmlns:x="http://schemas.openxmlformats.org/spreadsheetml/2006/main" id="1" name="FormularioT11" displayName="FormularioT11" ref="A4:D54" headerRowCount="1" totalsRowCount="0" totalsRowShown="0">
  <x:tableColumns count="4">
    <x:tableColumn id="1" name="Producto / servicio ofertado"/>
    <x:tableColumn id="2" name="Ubicación / Lugar"/>
    <x:tableColumn id="3" name="Cantidad"/>
    <x:tableColumn id="4" name="Justific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chasTecnicas" displayName="FichasTecnicas" ref="A4:N54" headerRowCount="1" totalsRowCount="0" totalsRowShown="0">
  <x:tableColumns count="14">
    <x:tableColumn id="1" name="ID"/>
    <x:tableColumn id="2" name="Categoría"/>
    <x:tableColumn id="3" name="Producto / servicio"/>
    <x:tableColumn id="4" name="Responsable"/>
    <x:tableColumn id="5" name="Marca / modelo referencia"/>
    <x:tableColumn id="6" name="Versión"/>
    <x:tableColumn id="7" name="Cantidad"/>
    <x:tableColumn id="8" name="Unidad"/>
    <x:tableColumn id="9" name="Ubicación"/>
    <x:tableColumn id="10" name="Especificación mínima"/>
    <x:tableColumn id="11" name="Redundancia / arquitectura"/>
    <x:tableColumn id="12" name="Garantía / soporte"/>
    <x:tableColumn id="13" name="Ciclo de vida / reposición"/>
    <x:tableColumn id="14" name="Requisito 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cfc546641743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800af36d5b4c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21.600000381469727" hidden="0" customHeight="1">
      <x:c r="A1" s="44" t="str">
        <x:v>FORMULARIO T-11 - CONTROL DE ENTREGA</x:v>
      </x:c>
      <x:c r="B1" s="44" t="str">
        <x:v>FORMULARIO T-11 - CONTROL DE ENTREGA</x:v>
      </x:c>
    </x:row>
    <x:row r="2" ht="15" hidden="0" customHeight="1">
      <x:c r="A2" s="7" t="str">
        <x:v>OVERFORE S.A. | TFEP-01/2026 - Caso 01 Minería | v1.0 | 3 de septiembre de 2026</x:v>
      </x:c>
      <x:c r="B2" s="7" t="str">
        <x:v>OVERFORE S.A. | TFEP-01/2026 - Caso 01 Minería | v1.0 | 3 de septiembre de 2026</x:v>
      </x:c>
    </x:row>
    <x:row r="3" ht="15" hidden="0" customHeight="1">
      <x:c r="A3" s="45"/>
      <x:c r="B3" s="45"/>
    </x:row>
    <x:row r="4" ht="26.399999618530273" hidden="0" customHeight="1">
      <x:c r="A4" s="16" t="str">
        <x:v>Propósito</x:v>
      </x:c>
      <x:c r="B4" s="17" t="str">
        <x:v>Completar el Formulario T-11 oficial y anexar las fichas que acreditan marca/modelo de referencia, cantidad, características, interfaces, soporte, repuestos y ciclo de vida.</x:v>
      </x:c>
    </x:row>
    <x:row r="5" ht="15" hidden="0" customHeight="1">
      <x:c r="A5" s="16" t="str">
        <x:v>Regla formal</x:v>
      </x:c>
      <x:c r="B5" s="17" t="str">
        <x:v>La hoja “FORMULARIO T-11” conserva exactamente las cuatro columnas del formulario de las Bases Administrativas.</x:v>
      </x:c>
    </x:row>
    <x:row r="6" ht="26.399999618530273" hidden="0" customHeight="1">
      <x:c r="A6" s="16" t="str">
        <x:v>Precios</x:v>
      </x:c>
      <x:c r="B6" s="17" t="str">
        <x:v>Los formularios técnicos del Sobre N.º 2 no pueden contener precios. El costo unitario estimado exigido por RT-08.10 debe traspasarse a la oferta económica, manteniendo el mismo ID T11.</x:v>
      </x:c>
    </x:row>
    <x:row r="7" ht="26.399999618530273" hidden="0" customHeight="1">
      <x:c r="A7" s="16" t="str">
        <x:v>Responsabilidad</x:v>
      </x:c>
      <x:c r="B7" s="17" t="str">
        <x:v>OVERFORE provee/configura plataforma e infraestructura TI. El CLIENTE ejecuta obra civil y compra hardware de terreno cuando así lo indican las Bases; OVERFORE especifica y coordina.</x:v>
      </x:c>
    </x:row>
    <x:row r="8" ht="26.399999618530273" hidden="0" customHeight="1">
      <x:c r="A8" s="16" t="str">
        <x:v>Arquitectura congelada</x:v>
      </x:c>
      <x:c r="B8" s="17" t="str">
        <x:v>Azure Chile Central = plano central primario; Brazil South = recuperación regional; Faena = continuidad operacional/integraciones/DMZ TI-OT; CIO = warm standby crítico; cuatro C-04 edge.</x:v>
      </x:c>
    </x:row>
    <x:row r="9" ht="26.399999618530273" hidden="0" customHeight="1">
      <x:c r="A9" s="16" t="str">
        <x:v>Estado de cantidades</x:v>
      </x:c>
      <x:c r="B9" s="17" t="str">
        <x:v>Las cantidades se declaran como oferta técnica y deben validarse en levantamiento. No quedan celdas vacías: lo existente o sujeto a catastro está identificado.</x:v>
      </x:c>
    </x:row>
    <x:row r="10" ht="26.399999618530273" hidden="0" customHeight="1">
      <x:c r="A10" s="16" t="str">
        <x:v>Uso</x:v>
      </x:c>
      <x:c r="B10" s="17" t="str">
        <x:v>Entregar FORMULARIO T-11 + Fichas técnicas + Responsabilidades + Fuentes. Mantener “Cómo usarlo” y “Dimensionamiento” como hojas internas si la pauta exige sólo el formulario.</x:v>
      </x:c>
    </x:row>
    <x:row r="11" ht="15" hidden="0" customHeight="1">
      <x:c r="A11" s="16" t="str">
        <x:v>Advertencia</x:v>
      </x:c>
      <x:c r="B11" s="17" t="str">
        <x:v>No transformar modelos de referencia en marca exclusiva: todos admiten equivalente que cumpla o supere la ficha.</x:v>
      </x:c>
    </x:row>
    <x:row r="12" ht="15" hidden="0" customHeight="1">
      <x:c r="A12" s="16" t="str">
        <x:v>Versiones relacionadas</x:v>
      </x:c>
      <x:c r="B12" s="17" t="str">
        <x:v>Subdoc. 4.1 v4.2; Subdoc. 5 v2.1; T-12 v1.3; Registro de supuestos v1.6; Matriz distribución v1.0.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" hidden="0" customWidth="1"/>
    <x:col min="2" max="2" width="34" hidden="0" customWidth="1"/>
    <x:col min="3" max="3" width="18" hidden="0" customWidth="1"/>
    <x:col min="4" max="4" width="78" hidden="0" customWidth="1"/>
  </x:cols>
  <x:sheetData>
    <x:row r="1" ht="21.600000381469727" hidden="0" customHeight="1">
      <x:c r="A1" s="44" t="str">
        <x:v>FORMULARIO T-11</x:v>
      </x:c>
      <x:c r="B1" s="44" t="str">
        <x:v>FORMULARIO T-11</x:v>
      </x:c>
      <x:c r="C1" s="44" t="str">
        <x:v>FORMULARIO T-11</x:v>
      </x:c>
      <x:c r="D1" s="44" t="str">
        <x:v>FORMULARIO T-11</x:v>
      </x:c>
    </x:row>
    <x:row r="2" ht="15" hidden="0" customHeight="1">
      <x:c r="A2" s="7" t="str">
        <x:v>ESPECIFICACIONES TÉCNICAS OFERTADAS - sin información de precios</x:v>
      </x:c>
      <x:c r="B2" s="7" t="str">
        <x:v>ESPECIFICACIONES TÉCNICAS OFERTADAS - sin información de precios</x:v>
      </x:c>
      <x:c r="C2" s="7" t="str">
        <x:v>ESPECIFICACIONES TÉCNICAS OFERTADAS - sin información de precios</x:v>
      </x:c>
      <x:c r="D2" s="7" t="str">
        <x:v>ESPECIFICACIONES TÉCNICAS OFERTADAS - sin información de precios</x:v>
      </x:c>
    </x:row>
    <x:row r="3" ht="15" hidden="0" customHeight="1">
      <x:c r="A3" s="45"/>
      <x:c r="B3" s="45"/>
      <x:c r="C3" s="45"/>
      <x:c r="D3" s="45"/>
    </x:row>
    <x:row r="4" ht="15" hidden="0" customHeight="1">
      <x:c r="A4" s="22" t="str">
        <x:v>Producto / servicio ofertado</x:v>
      </x:c>
      <x:c r="B4" s="22" t="str">
        <x:v>Ubicación / Lugar</x:v>
      </x:c>
      <x:c r="C4" s="22" t="str">
        <x:v>Cantidad</x:v>
      </x:c>
      <x:c r="D4" s="22" t="str">
        <x:v>Justificación</x:v>
      </x:c>
    </x:row>
    <x:row r="5" ht="21.600000381469727" hidden="0" customHeight="1">
      <x:c r="A5" s="33" t="str">
        <x:v>T11-01 - Microsoft Azure Landing Zone (Microsoft Azure o equivalente)</x:v>
      </x:c>
      <x:c r="B5" s="30" t="str">
        <x:v>Chile Central (primaria)</x:v>
      </x:c>
      <x:c r="C5" s="30" t="str">
        <x:v>1 plataforma</x:v>
      </x:c>
      <x:c r="D5" s="30" t="str">
        <x:v>Suscripciones separadas PROD/PREPROD/QA/DEV; red hub-spoke; subredes privadas; Azure Policy; etiquetas FinOps; IaC. Multi-AZ en PROD; sin recursos de datos expuestos a Internet</x:v>
      </x:c>
    </x:row>
    <x:row r="6" ht="21.600000381469727" hidden="0" customHeight="1">
      <x:c r="A6" s="34" t="str">
        <x:v>T11-02 - Región de recuperación (Microsoft Azure o equivalente)</x:v>
      </x:c>
      <x:c r="B6" s="31" t="str">
        <x:v>Brazil South (secundaria regional)</x:v>
      </x:c>
      <x:c r="C6" s="31" t="str">
        <x:v>1 región</x:v>
      </x:c>
      <x:c r="D6" s="31" t="str">
        <x:v>Infraestructura mínima predefinida por IaC; copias inmutables; capacidad de recuperación regional. No se declara como par automático de Chile Central; activación controlada</x:v>
      </x:c>
    </x:row>
    <x:row r="7" ht="21.600000381469727" hidden="0" customHeight="1">
      <x:c r="A7" s="34" t="str">
        <x:v>T11-03 - Orquestación de contenedores central (Azure Kubernetes Service o equivalente)</x:v>
      </x:c>
      <x:c r="B7" s="31" t="str">
        <x:v>Chile Central PROD y no productivo</x:v>
      </x:c>
      <x:c r="C7" s="31" t="str">
        <x:v>2 clústeres</x:v>
      </x:c>
      <x:c r="D7" s="31" t="str">
        <x:v>Plano de control administrado; nodos en dos o más zonas; autoscaling; imágenes firmadas; políticas de red. PROD multi-zona; clúster no productivo escalable a cero fuera de uso</x:v>
      </x:c>
    </x:row>
    <x:row r="8" ht="21.600000381469727" hidden="0" customHeight="1">
      <x:c r="A8" s="34" t="str">
        <x:v>T11-04 - Bus de eventos administrado (Azure Service Bus Premium o equivalente)</x:v>
      </x:c>
      <x:c r="B8" s="31" t="str">
        <x:v>Chile Central y recuperación</x:v>
      </x:c>
      <x:c r="C8" s="31" t="str">
        <x:v>2 namespaces</x:v>
      </x:c>
      <x:c r="D8" s="31" t="str">
        <x:v>Entrega al menos una vez; DLQ; particionamiento; deduplicación; métricas y claves separadas. Zona redundante donde esté disponible; réplica lógica de contratos</x:v>
      </x:c>
    </x:row>
    <x:row r="9" ht="21.600000381469727" hidden="0" customHeight="1">
      <x:c r="A9" s="34" t="str">
        <x:v>T11-05 - Base transaccional (PostgreSQL o equivalente)</x:v>
      </x:c>
      <x:c r="B9" s="31" t="str">
        <x:v>Chile Central y CIO</x:v>
      </x:c>
      <x:c r="C9" s="31" t="str">
        <x:v>2 servicios HA</x:v>
      </x:c>
      <x:c r="D9" s="31" t="str">
        <x:v>ACID; aislamiento serializable; cifrado; PITR; red privada; auditoría; réplica continua al CIO. HA multi-zona en nube; instancia warm standby en CIO</x:v>
      </x:c>
    </x:row>
    <x:row r="10" ht="21.600000381469727" hidden="0" customHeight="1">
      <x:c r="A10" s="34" t="str">
        <x:v>T11-06 - Series de tiempo (TimescaleDB sobre PostgreSQL o equivalente)</x:v>
      </x:c>
      <x:c r="B10" s="31" t="str">
        <x:v>Chile Central y CIO</x:v>
      </x:c>
      <x:c r="C10" s="31" t="str">
        <x:v>2 servicios</x:v>
      </x:c>
      <x:c r="D10" s="31" t="str">
        <x:v>Compresión, particionado temporal y retención por política; ingestión de historiador/telemetría. Réplica del subconjunto crítico al CIO</x:v>
      </x:c>
    </x:row>
    <x:row r="11" ht="21.600000381469727" hidden="0" customHeight="1">
      <x:c r="A11" s="34" t="str">
        <x:v>T11-07 - Motor analítico columnar (ClickHouse o equivalente)</x:v>
      </x:c>
      <x:c r="B11" s="31" t="str">
        <x:v>Chile Central</x:v>
      </x:c>
      <x:c r="C11" s="31" t="str">
        <x:v>1 clúster</x:v>
      </x:c>
      <x:c r="D11" s="31" t="str">
        <x:v>Separado del transaccional; tres nodos; ingestión por eventos; reconstruible desde datos fuente. Réplicas entre zonas; no forma parte del mínimo warm standby CIO</x:v>
      </x:c>
    </x:row>
    <x:row r="12" ht="21.600000381469727" hidden="0" customHeight="1">
      <x:c r="A12" s="34" t="str">
        <x:v>T11-08 - Almacén documental y de objetos (S3-compatible object storage o equivalente)</x:v>
      </x:c>
      <x:c r="B12" s="31" t="str">
        <x:v>Chile Central y copia regional</x:v>
      </x:c>
      <x:c r="C12" s="31" t="str">
        <x:v>2 repositorios</x:v>
      </x:c>
      <x:c r="D12" s="31" t="str">
        <x:v>Versionado, cifrado, object lock, ciclo de vida y exportación abierta. Copia inmutable regional con credenciales separadas</x:v>
      </x:c>
    </x:row>
    <x:row r="13" ht="15" hidden="0" customHeight="1">
      <x:c r="A13" s="34" t="str">
        <x:v>T11-09 - Índice de búsqueda (OpenSearch o equivalente)</x:v>
      </x:c>
      <x:c r="B13" s="31" t="str">
        <x:v>Chile Central</x:v>
      </x:c>
      <x:c r="C13" s="31" t="str">
        <x:v>1 clúster</x:v>
      </x:c>
      <x:c r="D13" s="31" t="str">
        <x:v>Índice reconstruible; no indexa atributos personales sensibles; nodos privados. Tres nodos distribuidos en zonas</x:v>
      </x:c>
    </x:row>
    <x:row r="14" ht="15" hidden="0" customHeight="1">
      <x:c r="A14" s="34" t="str">
        <x:v>T11-10 - Caché y estado efímero (Redis administrado o equivalente)</x:v>
      </x:c>
      <x:c r="B14" s="31" t="str">
        <x:v>Chile Central</x:v>
      </x:c>
      <x:c r="C14" s="31" t="str">
        <x:v>1 servicio HA</x:v>
      </x:c>
      <x:c r="D14" s="31" t="str">
        <x:v>Caché sin dato sensible en claro; cifrado; red privada; límites de memoria. Alta disponibilidad por zona</x:v>
      </x:c>
    </x:row>
    <x:row r="15" ht="21.600000381469727" hidden="0" customHeight="1">
      <x:c r="A15" s="34" t="str">
        <x:v>T11-11 - WAF, DDoS y balanceo público (Azure Front Door Premium + WAF o equivalente)</x:v>
      </x:c>
      <x:c r="B15" s="31" t="str">
        <x:v>Borde público cloud</x:v>
      </x:c>
      <x:c r="C15" s="31" t="str">
        <x:v>1 servicio global</x:v>
      </x:c>
      <x:c r="D15" s="31" t="str">
        <x:v>Sólo C-06 y C-07; TLS; rate limit; bot protection; registros al SIEM. Servicio distribuido; origen privado</x:v>
      </x:c>
    </x:row>
    <x:row r="16" ht="21.600000381469727" hidden="0" customHeight="1">
      <x:c r="A16" s="34" t="str">
        <x:v>T11-12 - Gestión de secretos y llaves (Azure Key Vault Premium/HSM o equivalente)</x:v>
      </x:c>
      <x:c r="B16" s="31" t="str">
        <x:v>Chile Central y recuperación</x:v>
      </x:c>
      <x:c r="C16" s="31" t="str">
        <x:v>2 bóvedas</x:v>
      </x:c>
      <x:c r="D16" s="31" t="str">
        <x:v>Llaves separadas por ambiente; rotación; RBAC; logs inmutables; claves de respaldo independientes. Redundancia por zona y bóveda de recuperación</x:v>
      </x:c>
    </x:row>
    <x:row r="17" ht="21.600000381469727" hidden="0" customHeight="1">
      <x:c r="A17" s="34" t="str">
        <x:v>T11-13 - Observabilidad y SIEM (Azure Monitor + OpenTelemetry + Microsoft Sentinel o equivalente)</x:v>
      </x:c>
      <x:c r="B17" s="31" t="str">
        <x:v>Nube, Faena, CIO y edge</x:v>
      </x:c>
      <x:c r="C17" s="31" t="str">
        <x:v>1 plataforma</x:v>
      </x:c>
      <x:c r="D17" s="31" t="str">
        <x:v>Métricas, logs y trazas unificados; retención en línea 12 meses y archivo 24 meses adicionales. Colectores con buffer local durante cortes</x:v>
      </x:c>
    </x:row>
    <x:row r="18" ht="21.600000381469727" hidden="0" customHeight="1">
      <x:c r="A18" s="34" t="str">
        <x:v>T11-14 - Automatización de infraestructura (Terraform/OpenTofu + repositorio Git del CLIENTE o equivalente)</x:v>
      </x:c>
      <x:c r="B18" s="31" t="str">
        <x:v>Todos los ambientes</x:v>
      </x:c>
      <x:c r="C18" s="31" t="str">
        <x:v>1 toolchain</x:v>
      </x:c>
      <x:c r="D18" s="31" t="str">
        <x:v>Módulos versionados; revisión por pares; plan/aprobación; sin creación manual en consola. Estado remoto protegido y respaldado</x:v>
      </x:c>
    </x:row>
    <x:row r="19" ht="21.600000381469727" hidden="0" customHeight="1">
      <x:c r="A19" s="34" t="str">
        <x:v>T11-15 - Servidor de virtualización/contenedores (Dell PowerEdge R760xs o equivalente)</x:v>
      </x:c>
      <x:c r="B19" s="31" t="str">
        <x:v>Sala técnica principal - Faena Aranda</x:v>
      </x:c>
      <x:c r="C19" s="31" t="str">
        <x:v>3 unidades</x:v>
      </x:c>
      <x:c r="D19" s="31" t="str">
        <x:v>2U; &gt;=24 núcleos físicos; 256 GB RAM; 2x960 GB SSD RAID1; 4x10/25GbE; TPM 2.0; iDRAC; doble PSU. Clúster N+1; enlaces y PSU a pares distintos</x:v>
      </x:c>
    </x:row>
    <x:row r="20" ht="21.600000381469727" hidden="0" customHeight="1">
      <x:c r="A20" s="34" t="str">
        <x:v>T11-16 - Servidor de sitio secundario warm standby (Dell PowerEdge R760xs o equivalente)</x:v>
      </x:c>
      <x:c r="B20" s="31" t="str">
        <x:v>CIO Antofagasta</x:v>
      </x:c>
      <x:c r="C20" s="31" t="str">
        <x:v>3 unidades</x:v>
      </x:c>
      <x:c r="D20" s="31" t="str">
        <x:v>Misma familia; &gt;=24 núcleos; 256 GB RAM; 2x960 GB SSD RAID1; 4x10/25GbE; TPM; doble PSU. Ejecuta C01,C02,C05,C08,C15,C16,C20,C22 con un nodo fuera</x:v>
      </x:c>
    </x:row>
    <x:row r="21" ht="21.600000381469727" hidden="0" customHeight="1">
      <x:c r="A21" s="34" t="str">
        <x:v>T11-17 - Almacenamiento local operacional (Dell PowerVault ME5024 o equivalente)</x:v>
      </x:c>
      <x:c r="B21" s="31" t="str">
        <x:v>Sala técnica principal - Faena Aranda</x:v>
      </x:c>
      <x:c r="C21" s="31" t="str">
        <x:v>1 sistema</x:v>
      </x:c>
      <x:c r="D21" s="31" t="str">
        <x:v>Doble controladora; 24 TB útiles iniciales; RAID6; discos hot spare; cifrado; snapshots; 25GbE. Tolerancia a controladora y a dos discos; rutas multipath</x:v>
      </x:c>
    </x:row>
    <x:row r="22" ht="21.600000381469727" hidden="0" customHeight="1">
      <x:c r="A22" s="34" t="str">
        <x:v>T11-18 - Almacenamiento de recuperación (Dell PowerVault ME5024 o equivalente)</x:v>
      </x:c>
      <x:c r="B22" s="31" t="str">
        <x:v>CIO Antofagasta</x:v>
      </x:c>
      <x:c r="C22" s="31" t="str">
        <x:v>1 sistema</x:v>
      </x:c>
      <x:c r="D22" s="31" t="str">
        <x:v>Doble controladora; 40 TB útiles iniciales; RAID6; hot spare; cifrado; snapshots; 25GbE. Aloja datos críticos y cola para failover; no es copia de todo el lago analítico</x:v>
      </x:c>
    </x:row>
    <x:row r="23" ht="21.600000381469727" hidden="0" customHeight="1">
      <x:c r="A23" s="34" t="str">
        <x:v>T11-19 - Repositorio inmutable on-premise (Dell PowerProtect DD o equivalente)</x:v>
      </x:c>
      <x:c r="B23" s="31" t="str">
        <x:v>Faena y CIO</x:v>
      </x:c>
      <x:c r="C23" s="31" t="str">
        <x:v>2 appliances</x:v>
      </x:c>
      <x:c r="D23" s="31" t="str">
        <x:v>&gt;=60 TB útiles por sitio; deduplicación; cifrado; inmutabilidad; cuentas separadas. Parte del esquema 3-2-1-1-0; copia fuera de sitio</x:v>
      </x:c>
    </x:row>
    <x:row r="24" ht="21.600000381469727" hidden="0" customHeight="1">
      <x:c r="A24" s="34" t="str">
        <x:v>T11-20 - Switch core 10/25 GbE (Cisco Catalyst C9500-24Y4C o equivalente)</x:v>
      </x:c>
      <x:c r="B24" s="31" t="str">
        <x:v>2 Faena + 2 CIO</x:v>
      </x:c>
      <x:c r="C24" s="31" t="str">
        <x:v>4 unidades</x:v>
      </x:c>
      <x:c r="D24" s="31" t="str">
        <x:v>24 puertos 1/10/25G; uplinks 40/100G; stacking/MLAG equivalente; telemetría; 802.1X. Par HA por sitio; fuentes y rutas separadas</x:v>
      </x:c>
    </x:row>
    <x:row r="25" ht="21.600000381469727" hidden="0" customHeight="1">
      <x:c r="A25" s="34" t="str">
        <x:v>T11-21 - NGFW de sitio (Fortinet FortiGate 200G o equivalente)</x:v>
      </x:c>
      <x:c r="B25" s="31" t="str">
        <x:v>2 Faena + 2 CIO</x:v>
      </x:c>
      <x:c r="C25" s="31" t="str">
        <x:v>4 unidades</x:v>
      </x:c>
      <x:c r="D25" s="31" t="str">
        <x:v>HA; IPS; VPN IPsec; SD-WAN; inspección TLS; segmentación; envío de logs. Par active-passive por sitio; capacidad con inspección habilitada</x:v>
      </x:c>
    </x:row>
    <x:row r="26" ht="15" hidden="0" customHeight="1">
      <x:c r="A26" s="34" t="str">
        <x:v>T11-22 - Router de borde de sitio (Cisco Catalyst 8300 o equivalente)</x:v>
      </x:c>
      <x:c r="B26" s="31" t="str">
        <x:v>2 Faena + 2 CIO</x:v>
      </x:c>
      <x:c r="C26" s="31" t="str">
        <x:v>4 unidades</x:v>
      </x:c>
      <x:c r="D26" s="31" t="str">
        <x:v>Doble WAN; BGP; IPsec; SD-WAN; QoS; telemetría; doble PSU. Un router por carrier y entrada física</x:v>
      </x:c>
    </x:row>
    <x:row r="27" ht="21.600000381469727" hidden="0" customHeight="1">
      <x:c r="A27" s="34" t="str">
        <x:v>T11-23 - Enlace WAN carrier A (Servicio Ethernet/IP empresarial o equivalente)</x:v>
      </x:c>
      <x:c r="B27" s="31" t="str">
        <x:v>Faena y CIO hacia Azure</x:v>
      </x:c>
      <x:c r="C27" s="31" t="str">
        <x:v>2 enlaces</x:v>
      </x:c>
      <x:c r="D27" s="31" t="str">
        <x:v>&gt;=100 Mbps simétricos por sitio; SLA &gt;=99,95%; ruta física documentada; BGP/IPsec. Diverso de carrier B</x:v>
      </x:c>
    </x:row>
    <x:row r="28" ht="21.600000381469727" hidden="0" customHeight="1">
      <x:c r="A28" s="34" t="str">
        <x:v>T11-24 - Enlace WAN carrier B (Servicio Ethernet/IP empresarial o equivalente)</x:v>
      </x:c>
      <x:c r="B28" s="31" t="str">
        <x:v>Faena y CIO hacia Azure</x:v>
      </x:c>
      <x:c r="C28" s="31" t="str">
        <x:v>2 enlaces</x:v>
      </x:c>
      <x:c r="D28" s="31" t="str">
        <x:v>&gt;=100 Mbps simétricos por sitio; proveedor, ducto y punto de entrada distintos; failover automático. Diversidad física y contractual</x:v>
      </x:c>
    </x:row>
    <x:row r="29" ht="15" hidden="0" customHeight="1">
      <x:c r="A29" s="34" t="str">
        <x:v>T11-25 - Racks de servidores 42U (APC NetShelter SX o equivalente)</x:v>
      </x:c>
      <x:c r="B29" s="31" t="str">
        <x:v>2 Faena + 2 CIO</x:v>
      </x:c>
      <x:c r="C29" s="31" t="str">
        <x:v>4 racks</x:v>
      </x:c>
      <x:c r="D29" s="31" t="str">
        <x:v>Racks separados de comunicaciones; puertas; tierra; sensores; PDUs A/B; &gt;=30% U libre. Distribución servidores/datos/backup</x:v>
      </x:c>
    </x:row>
    <x:row r="30" ht="21.600000381469727" hidden="0" customHeight="1">
      <x:c r="A30" s="34" t="str">
        <x:v>T11-26 - Racks de comunicaciones 42U (APC NetShelter SX o equivalente)</x:v>
      </x:c>
      <x:c r="B30" s="31" t="str">
        <x:v>1 Faena + 1 CIO</x:v>
      </x:c>
      <x:c r="C30" s="31" t="str">
        <x:v>2 racks</x:v>
      </x:c>
      <x:c r="D30" s="31" t="str">
        <x:v>Separados de servidores; gestión de cableado; tierra; sensores; PDU A/B; &gt;=30% U libre. Equipos de carrier, router, firewall y core</x:v>
      </x:c>
    </x:row>
    <x:row r="31" ht="21.600000381469727" hidden="0" customHeight="1">
      <x:c r="A31" s="34" t="str">
        <x:v>T11-27 - UPS modular de sala (Schneider Galaxy VS o equivalente)</x:v>
      </x:c>
      <x:c r="B31" s="31" t="str">
        <x:v>Faena y CIO</x:v>
      </x:c>
      <x:c r="C31" s="31" t="str">
        <x:v>2 sistemas</x:v>
      </x:c>
      <x:c r="D31" s="31" t="str">
        <x:v>N+1; autonomía &gt;=30 min a plena carga; bypass de mantenimiento; SNMP; factor de potencia &gt;=0,99. Alimenta PDU A/B y circuitos independientes</x:v>
      </x:c>
    </x:row>
    <x:row r="32" ht="21.600000381469727" hidden="0" customHeight="1">
      <x:c r="A32" s="34" t="str">
        <x:v>T11-28 - Generación y ATS (Grupo electrógeno dimensionado por ingeniería o equivalente)</x:v>
      </x:c>
      <x:c r="B32" s="31" t="str">
        <x:v>Faena y CIO</x:v>
      </x:c>
      <x:c r="C32" s="31" t="str">
        <x:v>2 sistemas</x:v>
      </x:c>
      <x:c r="D32" s="31" t="str">
        <x:v>Autonomía &gt;=24 h; ATS; combustible y contrato de reabastecimiento; pruebas bajo carga. Respaldo de climatización y TI</x:v>
      </x:c>
    </x:row>
    <x:row r="33" ht="15" hidden="0" customHeight="1">
      <x:c r="A33" s="34" t="str">
        <x:v>T11-29 - Climatización de precisión (CRAC/InRow o equivalente)</x:v>
      </x:c>
      <x:c r="B33" s="31" t="str">
        <x:v>Faena y CIO</x:v>
      </x:c>
      <x:c r="C33" s="31" t="str">
        <x:v>2 sistemas N+1</x:v>
      </x:c>
      <x:c r="D33" s="31" t="str">
        <x:v>Control temperatura/humedad 24x7; fuga de agua; sensores; contención de pasillo; integración C-22. N+1 por sitio</x:v>
      </x:c>
    </x:row>
    <x:row r="34" ht="21.600000381469727" hidden="0" customHeight="1">
      <x:c r="A34" s="34" t="str">
        <x:v>T11-30 - Detección temprana y agente limpio (VESDA/AnaLASER + agente limpio equivalente FM-200)</x:v>
      </x:c>
      <x:c r="B34" s="31" t="str">
        <x:v>Faena y CIO</x:v>
      </x:c>
      <x:c r="C34" s="31" t="str">
        <x:v>2 sistemas</x:v>
      </x:c>
      <x:c r="D34" s="31" t="str">
        <x:v>Aspiración láser; extinción automática UL/NFPA; extintores portátiles; alerta a NOC y CLIENTE. Cobertura de sala y zonas técnicas</x:v>
      </x:c>
    </x:row>
    <x:row r="35" ht="21.600000381469727" hidden="0" customHeight="1">
      <x:c r="A35" s="34" t="str">
        <x:v>T11-31 - Control biométrico, mantrap y CCTV (HID/Morpho + CCTV IP o equivalente)</x:v>
      </x:c>
      <x:c r="B35" s="31" t="str">
        <x:v>Faena y CIO</x:v>
      </x:c>
      <x:c r="C35" s="31" t="str">
        <x:v>2 sistemas</x:v>
      </x:c>
      <x:c r="D35" s="31" t="str">
        <x:v>Facial primaria; AFIS respaldo; estación de enrolamiento; paso una persona; bitácora; video &gt;=30 días. Sin acceso por llave simple</x:v>
      </x:c>
    </x:row>
    <x:row r="36" ht="21.600000381469727" hidden="0" customHeight="1">
      <x:c r="A36" s="34" t="str">
        <x:v>T11-32 - Estación de administración con dos monitores (Dell Precision 3680 o equivalente)</x:v>
      </x:c>
      <x:c r="B36" s="31" t="str">
        <x:v>4 Faena + 2 CIO</x:v>
      </x:c>
      <x:c r="C36" s="31" t="str">
        <x:v>6 puestos</x:v>
      </x:c>
      <x:c r="D36" s="31" t="str">
        <x:v>CPU empresarial; 32 GB RAM; SSD 1 TB; 2 monitores 27”; TPM; cifrado; EDR; control USB. 1 unidad adicional cubierta por stock general</x:v>
      </x:c>
    </x:row>
    <x:row r="37" ht="21.600000381469727" hidden="0" customHeight="1">
      <x:c r="A37" s="34" t="str">
        <x:v>T11-33 - Servidor industrial C-04 (Dell PowerEdge XR4000 o equivalente)</x:v>
      </x:c>
      <x:c r="B37" s="31" t="str">
        <x:v>2 por Portería, Planta, Relaves y Puerto + 1 repuesto Faena</x:v>
      </x:c>
      <x:c r="C37" s="31" t="str">
        <x:v>9 unidades</x:v>
      </x:c>
      <x:c r="D37" s="31" t="str">
        <x:v>64 GB RAM; 2x1,92 TB SSD RAID1; TPM; &gt;=4 NIC; gestión remota; rango térmico/altura validados. Par active-passive por gabinete; 1 repuesto precargado</x:v>
      </x:c>
    </x:row>
    <x:row r="38" ht="21.600000381469727" hidden="0" customHeight="1">
      <x:c r="A38" s="34" t="str">
        <x:v>T11-34 - Router industrial dual-WAN (Cisco Catalyst IR1101 o equivalente)</x:v>
      </x:c>
      <x:c r="B38" s="31" t="str">
        <x:v>2 por gabinete edge + 1 repuesto</x:v>
      </x:c>
      <x:c r="C38" s="31" t="str">
        <x:v>9 unidades</x:v>
      </x:c>
      <x:c r="D38" s="31" t="str">
        <x:v>Ethernet/fibra + 4G/5G; IPsec/SD-WAN; doble alimentación; temperatura extendida; altura validada. Par por sitio y carrier alternativo</x:v>
      </x:c>
    </x:row>
    <x:row r="39" ht="21.600000381469727" hidden="0" customHeight="1">
      <x:c r="A39" s="34" t="str">
        <x:v>T11-35 - Switch industrial administrable (Cisco Catalyst IE3400 o equivalente)</x:v>
      </x:c>
      <x:c r="B39" s="31" t="str">
        <x:v>2 por gabinete edge + 1 repuesto</x:v>
      </x:c>
      <x:c r="C39" s="31" t="str">
        <x:v>9 unidades</x:v>
      </x:c>
      <x:c r="D39" s="31" t="str">
        <x:v>Fanless; doble DC; SFP; VLAN/VRF; 802.1X; QoS; temperatura extendida. Par por sitio; anillo/dual-homing</x:v>
      </x:c>
    </x:row>
    <x:row r="40" ht="21.600000381469727" hidden="0" customHeight="1">
      <x:c r="A40" s="34" t="str">
        <x:v>T11-36 - Gabinete industrial (Rittal/Schneider o equivalente)</x:v>
      </x:c>
      <x:c r="B40" s="31" t="str">
        <x:v>Portería, Planta, Relaves y Acopio de puerto</x:v>
      </x:c>
      <x:c r="C40" s="31" t="str">
        <x:v>4 gabinetes</x:v>
      </x:c>
      <x:c r="D40" s="31" t="str">
        <x:v>IP54 interior / IP65 expuesto; control térmico; UPS local; PDU; sensor; cerradura; tierra; filtro de polvo. Autonomía &gt;=60 min para cierre seguro y conmutación</x:v>
      </x:c>
    </x:row>
    <x:row r="41" ht="21.600000381469727" hidden="0" customHeight="1">
      <x:c r="A41" s="34" t="str">
        <x:v>T11-37 - Gateway OPC UA C-14 (PTC Kepware KEPServerEX o equivalente)</x:v>
      </x:c>
      <x:c r="B41" s="31" t="str">
        <x:v>DMZ TI/TO de Planta</x:v>
      </x:c>
      <x:c r="C41" s="31" t="str">
        <x:v>2 instancias</x:v>
      </x:c>
      <x:c r="D41" s="31" t="str">
        <x:v>Certificados mutuos; allowlist de nodos; usuario sólo lectura; Write/Call denegados; buffer local. Primaria y reserva sobre nodos edge distintos</x:v>
      </x:c>
    </x:row>
    <x:row r="42" ht="21.600000381469727" hidden="0" customHeight="1">
      <x:c r="A42" s="34" t="str">
        <x:v>T11-38 - Tableta rugerizada C-03 (Zebra ET85 o Dell Latitude 7030 Rugged Extreme o equivalente)</x:v>
      </x:c>
      <x:c r="B42" s="31" t="str">
        <x:v>Rajo, Planta, Portería, Relaves, Puerto y supervisión</x:v>
      </x:c>
      <x:c r="C42" s="31" t="str">
        <x:v>176 unidades</x:v>
      </x:c>
      <x:c r="D42" s="31" t="str">
        <x:v>IP65; caída &gt;=1,2 m; -6 a 34 °C; sol directo; guantes; NFC; GNSS; LTE/5G/Wi-Fi; TPM/secure element; cifrado; 12 h batería. 160 operación simultánea + 16 stock 10%; datos SQLite cifrados</x:v>
      </x:c>
    </x:row>
    <x:row r="43" ht="21.600000381469727" hidden="0" customHeight="1">
      <x:c r="A43" s="34" t="str">
        <x:v>T11-39 - Credencial de proximidad segura (MIFARE DESFire EV3 o equivalente)</x:v>
      </x:c>
      <x:c r="B43" s="31" t="str">
        <x:v>Personal propio y contratista</x:v>
      </x:c>
      <x:c r="C43" s="31" t="str">
        <x:v>9900 credenciales</x:v>
      </x:c>
      <x:c r="D43" s="31" t="str">
        <x:v>Criptografía AES; UID no usado como único secreto; personalización; revocación; compatible con torniquete/lector. 9.000 peak a 3 años + 10% reposición</x:v>
      </x:c>
    </x:row>
    <x:row r="44" ht="15" hidden="0" customHeight="1">
      <x:c r="A44" s="34" t="str">
        <x:v>T11-40 - Lector fijo RFID/código (Zebra FX9600/DS3608 o equivalente)</x:v>
      </x:c>
      <x:c r="B44" s="31" t="str">
        <x:v>Portería, básculas, Planta/stock y Puerto</x:v>
      </x:c>
      <x:c r="C44" s="31" t="str">
        <x:v>10 unidades</x:v>
      </x:c>
      <x:c r="D44" s="31" t="str">
        <x:v>UHF EPC Gen2 y/o código 1D/2D según punto; IP industrial; Ethernet/PoE; SDK abierto; lista local. 8 operativos + 2 repuestos</x:v>
      </x:c>
    </x:row>
    <x:row r="45" ht="21.600000381469727" hidden="0" customHeight="1">
      <x:c r="A45" s="34" t="str">
        <x:v>T11-41 - Etiqueta RFID para equipos/camiones (Tag UHF industrial on-metal o equivalente)</x:v>
      </x:c>
      <x:c r="B45" s="31" t="str">
        <x:v>Flota con telemetría/identificación</x:v>
      </x:c>
      <x:c r="C45" s="31" t="str">
        <x:v>77 etiquetas</x:v>
      </x:c>
      <x:c r="D45" s="31" t="str">
        <x:v>EPC Gen2; memoria protegida; fijación industrial; resistencia UV/polvo/vibración. 70 equipos a 3 años + 10% stock</x:v>
      </x:c>
    </x:row>
    <x:row r="46" ht="15" hidden="0" customHeight="1">
      <x:c r="A46" s="34" t="str">
        <x:v>T11-42 - Gateway de interfaz de báscula (Moxa UC-8200 o equivalente)</x:v>
      </x:c>
      <x:c r="B46" s="31" t="str">
        <x:v>Báscula salida descarga y báscula puerto + 1 repuesto</x:v>
      </x:c>
      <x:c r="C46" s="31" t="str">
        <x:v>3 unidades</x:v>
      </x:c>
      <x:c r="D46" s="31" t="str">
        <x:v>RS-232/485/Ethernet; store-and-forward; sello temporal; VPN/certificado; temperatura extendida. 2 operativos + 1 repuesto</x:v>
      </x:c>
    </x:row>
    <x:row r="47" ht="15" hidden="0" customHeight="1">
      <x:c r="A47" s="34" t="str">
        <x:v>T11-43 - Báscula de camiones (Equipamiento existente o equivalente)</x:v>
      </x:c>
      <x:c r="B47" s="31" t="str">
        <x:v>Salida del área de descarga y despacho a puerto</x:v>
      </x:c>
      <x:c r="C47" s="31" t="str">
        <x:v>2 sistemas</x:v>
      </x:c>
      <x:c r="D47" s="31" t="str">
        <x:v>Se conserva; interfaz digital documentada; calibración metrológica vigente; lectura &lt;=3 s. No se altera el instrumento</x:v>
      </x:c>
    </x:row>
    <x:row r="48" ht="21.600000381469727" hidden="0" customHeight="1">
      <x:c r="A48" s="34" t="str">
        <x:v>T11-44 - Pesaje de a bordo (Sistema de despacho de flota existente o equivalente)</x:v>
      </x:c>
      <x:c r="B48" s="31" t="str">
        <x:v>Rajo Aranda</x:v>
      </x:c>
      <x:c r="C48" s="31" t="str">
        <x:v>38 camiones</x:v>
      </x:c>
      <x:c r="D48" s="31" t="str">
        <x:v>Se consume desde C-10; no se modifica el sistema de despacho; conserva dato original. Integración asíncrona y reintentos</x:v>
      </x:c>
    </x:row>
    <x:row r="49" ht="21.600000381469727" hidden="0" customHeight="1">
      <x:c r="A49" s="34" t="str">
        <x:v>T11-45 - Balanza de alimentación de planta (Instrumentación/historiador existente o equivalente)</x:v>
      </x:c>
      <x:c r="B49" s="31" t="str">
        <x:v>Planta concentradora</x:v>
      </x:c>
      <x:c r="C49" s="31" t="str">
        <x:v>1 señal lógica</x:v>
      </x:c>
      <x:c r="D49" s="31" t="str">
        <x:v>Se lee únicamente desde historiador por C-14 OPC UA; sin acceso directo a PLC/DCS. Gateway primario/reserva</x:v>
      </x:c>
    </x:row>
    <x:row r="50" ht="15" hidden="0" customHeight="1">
      <x:c r="A50" s="34" t="str">
        <x:v>T11-46 - Lector portátil de muestras (Zebra DS3608/TC58e o equivalente)</x:v>
      </x:c>
      <x:c r="B50" s="31" t="str">
        <x:v>Planta, laboratorio, concentrado y puerto</x:v>
      </x:c>
      <x:c r="C50" s="31" t="str">
        <x:v>24 unidades</x:v>
      </x:c>
      <x:c r="D50" s="31" t="str">
        <x:v>Código 1D/2D; IP65/67; caída industrial; operación con guantes; conexión cifrada. 20 operativos + 4 repuestos</x:v>
      </x:c>
    </x:row>
    <x:row r="51" ht="21.600000381469727" hidden="0" customHeight="1">
      <x:c r="A51" s="34" t="str">
        <x:v>T11-47 - Impresora industrial de etiquetas de muestra (Zebra ZT411 o equivalente)</x:v>
      </x:c>
      <x:c r="B51" s="31" t="str">
        <x:v>Planta, laboratorio y puerto</x:v>
      </x:c>
      <x:c r="C51" s="31" t="str">
        <x:v>10 unidades</x:v>
      </x:c>
      <x:c r="D51" s="31" t="str">
        <x:v>Transferencia térmica; 300 dpi; Ethernet; etiquetas resistentes a humedad/químicos; SDK abierto. 8 operativas + 2 repuestos</x:v>
      </x:c>
    </x:row>
    <x:row r="52" ht="21.600000381469727" hidden="0" customHeight="1">
      <x:c r="A52" s="34" t="str">
        <x:v>T11-48 - Ampliación de instrumentación ambiental/geotécnica (Sensores compatibles con plataforma existente o equivalente)</x:v>
      </x:c>
      <x:c r="B52" s="31" t="str">
        <x:v>Depósito de relaves y puntos ambientales</x:v>
      </x:c>
      <x:c r="C52" s="31" t="str">
        <x:v>49 instrumentos</x:v>
      </x:c>
      <x:c r="D52" s="31" t="str">
        <x:v>Compatibilidad con radio/protocolo existente; sello temporal; calibración; IP65/67; registro local. 44 expansión a 230 + 5 repuestos/calibración</x:v>
      </x:c>
    </x:row>
    <x:row r="53" ht="21.600000381469727" hidden="0" customHeight="1">
      <x:c r="A53" s="34" t="str">
        <x:v>T11-49 - Servicio de respaldo celular empresarial (4G/5G multioperador o equivalente)</x:v>
      </x:c>
      <x:c r="B53" s="31" t="str">
        <x:v>Portería, Planta, Relaves y Puerto</x:v>
      </x:c>
      <x:c r="C53" s="31" t="str">
        <x:v>4 servicios</x:v>
      </x:c>
      <x:c r="D53" s="31" t="str">
        <x:v>APN privado o VPN; IPsec; &gt;=10 Mbps objetivo; antena externa; monitoreo y cuota declarada. Independiente del enlace principal de cada sitio</x:v>
      </x:c>
    </x:row>
    <x:row r="54" ht="21.600000381469727" hidden="0" customHeight="1">
      <x:c r="A54" s="35" t="str">
        <x:v>T11-50 - Estudio RF y plan de cobertura (Servicio de ingeniería RF o equivalente)</x:v>
      </x:c>
      <x:c r="B54" s="32" t="str">
        <x:v>Rajo y sitios operacionales</x:v>
      </x:c>
      <x:c r="C54" s="32" t="str">
        <x:v>1 estudio + actualizaciones</x:v>
      </x:c>
      <x:c r="D54" s="32" t="str">
        <x:v>Mapa de calor; sombras; mediciones a 3.180 m; avance del rajo a 3 años; capacidad y plan de repetidores/small cells. Revisión trimestral o ante cambio relevante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7ecfc546641743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24" hidden="0" customWidth="1"/>
    <x:col min="5" max="5" width="34" hidden="0" customWidth="1"/>
    <x:col min="6" max="6" width="22" hidden="0" customWidth="1"/>
    <x:col min="7" max="7" width="12" hidden="0" customWidth="1"/>
    <x:col min="8" max="8" width="14" hidden="0" customWidth="1"/>
    <x:col min="9" max="9" width="30" hidden="0" customWidth="1"/>
    <x:col min="10" max="10" width="70" hidden="0" customWidth="1"/>
    <x:col min="11" max="11" width="54" hidden="0" customWidth="1"/>
    <x:col min="12" max="12" width="30" hidden="0" customWidth="1"/>
    <x:col min="13" max="13" width="34" hidden="0" customWidth="1"/>
    <x:col min="14" max="14" width="28" hidden="0" customWidth="1"/>
  </x:cols>
  <x:sheetData>
    <x:row r="1" ht="21.600000381469727" hidden="0" customHeight="1">
      <x:c r="A1" s="46" t="str">
        <x:v>ANEXO - FICHAS TÉCNICAS</x:v>
      </x:c>
      <x:c r="B1" s="46" t="str">
        <x:v>ANEXO - FICHAS TÉCNICAS</x:v>
      </x:c>
      <x:c r="C1" s="44" t="str">
        <x:v>ANEXO - FICHAS TÉCNICAS</x:v>
      </x:c>
      <x:c r="D1" s="46" t="str">
        <x:v>ANEXO - FICHAS TÉCNICAS</x:v>
      </x:c>
      <x:c r="E1" s="44" t="str">
        <x:v>ANEXO - FICHAS TÉCNICAS</x:v>
      </x:c>
      <x:c r="F1" s="46" t="str">
        <x:v>ANEXO - FICHAS TÉCNICAS</x:v>
      </x:c>
      <x:c r="G1" s="46" t="str">
        <x:v>ANEXO - FICHAS TÉCNICAS</x:v>
      </x:c>
      <x:c r="H1" s="46" t="str">
        <x:v>ANEXO - FICHAS TÉCNICAS</x:v>
      </x:c>
      <x:c r="I1" s="44" t="str">
        <x:v>ANEXO - FICHAS TÉCNICAS</x:v>
      </x:c>
      <x:c r="J1" s="44" t="str">
        <x:v>ANEXO - FICHAS TÉCNICAS</x:v>
      </x:c>
      <x:c r="K1" s="44" t="str">
        <x:v>ANEXO - FICHAS TÉCNICAS</x:v>
      </x:c>
      <x:c r="L1" s="44" t="str">
        <x:v>ANEXO - FICHAS TÉCNICAS</x:v>
      </x:c>
      <x:c r="M1" s="44" t="str">
        <x:v>ANEXO - FICHAS TÉCNICAS</x:v>
      </x:c>
      <x:c r="N1" s="44" t="str">
        <x:v>ANEXO - FICHAS TÉCNICAS</x:v>
      </x:c>
    </x:row>
    <x:row r="2" ht="15" hidden="0" customHeight="1">
      <x:c r="A2" s="7" t="str">
        <x:v>Detalle verificable que complementa las cuatro columnas oficiales del T-11</x:v>
      </x:c>
      <x:c r="B2" s="7" t="str">
        <x:v>Detalle verificable que complementa las cuatro columnas oficiales del T-11</x:v>
      </x:c>
      <x:c r="C2" s="7" t="str">
        <x:v>Detalle verificable que complementa las cuatro columnas oficiales del T-11</x:v>
      </x:c>
      <x:c r="D2" s="7" t="str">
        <x:v>Detalle verificable que complementa las cuatro columnas oficiales del T-11</x:v>
      </x:c>
      <x:c r="E2" s="7" t="str">
        <x:v>Detalle verificable que complementa las cuatro columnas oficiales del T-11</x:v>
      </x:c>
      <x:c r="F2" s="7" t="str">
        <x:v>Detalle verificable que complementa las cuatro columnas oficiales del T-11</x:v>
      </x:c>
      <x:c r="G2" s="7" t="str">
        <x:v>Detalle verificable que complementa las cuatro columnas oficiales del T-11</x:v>
      </x:c>
      <x:c r="H2" s="7" t="str">
        <x:v>Detalle verificable que complementa las cuatro columnas oficiales del T-11</x:v>
      </x:c>
      <x:c r="I2" s="7" t="str">
        <x:v>Detalle verificable que complementa las cuatro columnas oficiales del T-11</x:v>
      </x:c>
      <x:c r="J2" s="7" t="str">
        <x:v>Detalle verificable que complementa las cuatro columnas oficiales del T-11</x:v>
      </x:c>
      <x:c r="K2" s="7" t="str">
        <x:v>Detalle verificable que complementa las cuatro columnas oficiales del T-11</x:v>
      </x:c>
      <x:c r="L2" s="7" t="str">
        <x:v>Detalle verificable que complementa las cuatro columnas oficiales del T-11</x:v>
      </x:c>
      <x:c r="M2" s="7" t="str">
        <x:v>Detalle verificable que complementa las cuatro columnas oficiales del T-11</x:v>
      </x:c>
      <x:c r="N2" s="7" t="str">
        <x:v>Detalle verificable que complementa las cuatro columnas oficiales del T-11</x:v>
      </x:c>
    </x:row>
    <x:row r="3" ht="15" hidden="0" customHeight="1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</x:row>
    <x:row r="4" ht="15" hidden="0" customHeight="1">
      <x:c r="A4" s="22" t="str">
        <x:v>ID</x:v>
      </x:c>
      <x:c r="B4" s="22" t="str">
        <x:v>Categoría</x:v>
      </x:c>
      <x:c r="C4" s="22" t="str">
        <x:v>Producto / servicio</x:v>
      </x:c>
      <x:c r="D4" s="22" t="str">
        <x:v>Responsable</x:v>
      </x:c>
      <x:c r="E4" s="22" t="str">
        <x:v>Marca / modelo referencia</x:v>
      </x:c>
      <x:c r="F4" s="22" t="str">
        <x:v>Versión</x:v>
      </x:c>
      <x:c r="G4" s="22" t="str">
        <x:v>Cantidad</x:v>
      </x:c>
      <x:c r="H4" s="22" t="str">
        <x:v>Unidad</x:v>
      </x:c>
      <x:c r="I4" s="22" t="str">
        <x:v>Ubicación</x:v>
      </x:c>
      <x:c r="J4" s="22" t="str">
        <x:v>Especificación mínima</x:v>
      </x:c>
      <x:c r="K4" s="22" t="str">
        <x:v>Redundancia / arquitectura</x:v>
      </x:c>
      <x:c r="L4" s="22" t="str">
        <x:v>Garantía / soporte</x:v>
      </x:c>
      <x:c r="M4" s="22" t="str">
        <x:v>Ciclo de vida / reposición</x:v>
      </x:c>
      <x:c r="N4" s="22" t="str">
        <x:v>Requisito fuente</x:v>
      </x:c>
    </x:row>
    <x:row r="5" ht="21.600000381469727" hidden="0" customHeight="1">
      <x:c r="A5" s="39" t="str">
        <x:v>T11-01</x:v>
      </x:c>
      <x:c r="B5" s="30" t="str">
        <x:v>Nube</x:v>
      </x:c>
      <x:c r="C5" s="30" t="str">
        <x:v>Microsoft Azure Landing Zone</x:v>
      </x:c>
      <x:c r="D5" s="30" t="str">
        <x:v>OVERFORE</x:v>
      </x:c>
      <x:c r="E5" s="30" t="str">
        <x:v>Microsoft Azure</x:v>
      </x:c>
      <x:c r="F5" s="30" t="str">
        <x:v>Servicio administrado vigente</x:v>
      </x:c>
      <x:c r="G5" s="30" t="str">
        <x:v>1</x:v>
      </x:c>
      <x:c r="H5" s="30" t="str">
        <x:v>plataforma</x:v>
      </x:c>
      <x:c r="I5" s="30" t="str">
        <x:v>Chile Central (primaria)</x:v>
      </x:c>
      <x:c r="J5" s="30" t="str">
        <x:v>Suscripciones separadas PROD/PREPROD/QA/DEV; red hub-spoke; subredes privadas; Azure Policy; etiquetas FinOps; IaC</x:v>
      </x:c>
      <x:c r="K5" s="30" t="str">
        <x:v>Multi-AZ en PROD; sin recursos de datos expuestos a Internet</x:v>
      </x:c>
      <x:c r="L5" s="30" t="str">
        <x:v>Soporte Unified/Professional Direct o equivalente durante 56 meses</x:v>
      </x:c>
      <x:c r="M5" s="30" t="str">
        <x:v>Portable por contenedores, PostgreSQL y formatos abiertos</x:v>
      </x:c>
      <x:c r="N5" s="30" t="str">
        <x:v>RT-03.01 a 03.09; Art. 16.3</x:v>
      </x:c>
    </x:row>
    <x:row r="6" ht="15" hidden="0" customHeight="1">
      <x:c r="A6" s="40" t="str">
        <x:v>T11-02</x:v>
      </x:c>
      <x:c r="B6" s="31" t="str">
        <x:v>Nube</x:v>
      </x:c>
      <x:c r="C6" s="31" t="str">
        <x:v>Región de recuperación</x:v>
      </x:c>
      <x:c r="D6" s="31" t="str">
        <x:v>OVERFORE</x:v>
      </x:c>
      <x:c r="E6" s="31" t="str">
        <x:v>Microsoft Azure</x:v>
      </x:c>
      <x:c r="F6" s="31" t="str">
        <x:v>Servicio administrado vigente</x:v>
      </x:c>
      <x:c r="G6" s="31" t="str">
        <x:v>1</x:v>
      </x:c>
      <x:c r="H6" s="31" t="str">
        <x:v>región</x:v>
      </x:c>
      <x:c r="I6" s="31" t="str">
        <x:v>Brazil South (secundaria regional)</x:v>
      </x:c>
      <x:c r="J6" s="31" t="str">
        <x:v>Infraestructura mínima predefinida por IaC; copias inmutables; capacidad de recuperación regional</x:v>
      </x:c>
      <x:c r="K6" s="31" t="str">
        <x:v>No se declara como par automático de Chile Central; activación controlada</x:v>
      </x:c>
      <x:c r="L6" s="31" t="str">
        <x:v>Incluido en soporte cloud</x:v>
      </x:c>
      <x:c r="M6" s="31" t="str">
        <x:v>Prueba semestral y revisión anual de región</x:v>
      </x:c>
      <x:c r="N6" s="31" t="str">
        <x:v>RT-03.01; RT-07.03 a 07.07</x:v>
      </x:c>
    </x:row>
    <x:row r="7" ht="15" hidden="0" customHeight="1">
      <x:c r="A7" s="40" t="str">
        <x:v>T11-03</x:v>
      </x:c>
      <x:c r="B7" s="31" t="str">
        <x:v>Plataforma</x:v>
      </x:c>
      <x:c r="C7" s="31" t="str">
        <x:v>Orquestación de contenedores central</x:v>
      </x:c>
      <x:c r="D7" s="31" t="str">
        <x:v>OVERFORE</x:v>
      </x:c>
      <x:c r="E7" s="31" t="str">
        <x:v>Azure Kubernetes Service</x:v>
      </x:c>
      <x:c r="F7" s="31" t="str">
        <x:v>Versión soportada vigente</x:v>
      </x:c>
      <x:c r="G7" s="31" t="str">
        <x:v>2</x:v>
      </x:c>
      <x:c r="H7" s="31" t="str">
        <x:v>clústeres</x:v>
      </x:c>
      <x:c r="I7" s="31" t="str">
        <x:v>Chile Central PROD y no productivo</x:v>
      </x:c>
      <x:c r="J7" s="31" t="str">
        <x:v>Plano de control administrado; nodos en dos o más zonas; autoscaling; imágenes firmadas; políticas de red</x:v>
      </x:c>
      <x:c r="K7" s="31" t="str">
        <x:v>PROD multi-zona; clúster no productivo escalable a cero fuera de uso</x:v>
      </x:c>
      <x:c r="L7" s="31" t="str">
        <x:v>Soporte cloud 24x7 para PROD</x:v>
      </x:c>
      <x:c r="M7" s="31" t="str">
        <x:v>Actualización dentro de versiones soportadas</x:v>
      </x:c>
      <x:c r="N7" s="31" t="str">
        <x:v>RT-02.02; RT-02.10; RT-03.02; RT-03.09</x:v>
      </x:c>
    </x:row>
    <x:row r="8" ht="15" hidden="0" customHeight="1">
      <x:c r="A8" s="40" t="str">
        <x:v>T11-04</x:v>
      </x:c>
      <x:c r="B8" s="31" t="str">
        <x:v>Plataforma</x:v>
      </x:c>
      <x:c r="C8" s="31" t="str">
        <x:v>Bus de eventos administrado</x:v>
      </x:c>
      <x:c r="D8" s="31" t="str">
        <x:v>OVERFORE</x:v>
      </x:c>
      <x:c r="E8" s="31" t="str">
        <x:v>Azure Service Bus Premium o equivalente</x:v>
      </x:c>
      <x:c r="F8" s="31" t="str">
        <x:v>Servicio vigente</x:v>
      </x:c>
      <x:c r="G8" s="31" t="str">
        <x:v>2</x:v>
      </x:c>
      <x:c r="H8" s="31" t="str">
        <x:v>namespaces</x:v>
      </x:c>
      <x:c r="I8" s="31" t="str">
        <x:v>Chile Central y recuperación</x:v>
      </x:c>
      <x:c r="J8" s="31" t="str">
        <x:v>Entrega al menos una vez; DLQ; particionamiento; deduplicación; métricas y claves separadas</x:v>
      </x:c>
      <x:c r="K8" s="31" t="str">
        <x:v>Zona redundante donde esté disponible; réplica lógica de contratos</x:v>
      </x:c>
      <x:c r="L8" s="31" t="str">
        <x:v>Soporte cloud</x:v>
      </x:c>
      <x:c r="M8" s="31" t="str">
        <x:v>Contratos AsyncAPI y adaptador portable</x:v>
      </x:c>
      <x:c r="N8" s="31" t="str">
        <x:v>RT-02.06 a 02.08; C-22</x:v>
      </x:c>
    </x:row>
    <x:row r="9" ht="15" hidden="0" customHeight="1">
      <x:c r="A9" s="40" t="str">
        <x:v>T11-05</x:v>
      </x:c>
      <x:c r="B9" s="31" t="str">
        <x:v>Datos</x:v>
      </x:c>
      <x:c r="C9" s="31" t="str">
        <x:v>Base transaccional</x:v>
      </x:c>
      <x:c r="D9" s="31" t="str">
        <x:v>OVERFORE</x:v>
      </x:c>
      <x:c r="E9" s="31" t="str">
        <x:v>PostgreSQL</x:v>
      </x:c>
      <x:c r="F9" s="31" t="str">
        <x:v>16 o superior</x:v>
      </x:c>
      <x:c r="G9" s="31" t="str">
        <x:v>2</x:v>
      </x:c>
      <x:c r="H9" s="31" t="str">
        <x:v>servicios HA</x:v>
      </x:c>
      <x:c r="I9" s="31" t="str">
        <x:v>Chile Central y CIO</x:v>
      </x:c>
      <x:c r="J9" s="31" t="str">
        <x:v>ACID; aislamiento serializable; cifrado; PITR; red privada; auditoría; réplica continua al CIO</x:v>
      </x:c>
      <x:c r="K9" s="31" t="str">
        <x:v>HA multi-zona en nube; instancia warm standby en CIO</x:v>
      </x:c>
      <x:c r="L9" s="31" t="str">
        <x:v>Soporte de fabricante/proveedor 24x7</x:v>
      </x:c>
      <x:c r="M9" s="31" t="str">
        <x:v>Versiones mayores soportadas; exportación abierta</x:v>
      </x:c>
      <x:c r="N9" s="31" t="str">
        <x:v>Subdoc. 5 v2.1; RT-05.01; RT-07.03</x:v>
      </x:c>
    </x:row>
    <x:row r="10" ht="15" hidden="0" customHeight="1">
      <x:c r="A10" s="40" t="str">
        <x:v>T11-06</x:v>
      </x:c>
      <x:c r="B10" s="31" t="str">
        <x:v>Datos</x:v>
      </x:c>
      <x:c r="C10" s="31" t="str">
        <x:v>Series de tiempo</x:v>
      </x:c>
      <x:c r="D10" s="31" t="str">
        <x:v>OVERFORE</x:v>
      </x:c>
      <x:c r="E10" s="31" t="str">
        <x:v>TimescaleDB sobre PostgreSQL</x:v>
      </x:c>
      <x:c r="F10" s="31" t="str">
        <x:v>PostgreSQL 16 o superior</x:v>
      </x:c>
      <x:c r="G10" s="31" t="str">
        <x:v>2</x:v>
      </x:c>
      <x:c r="H10" s="31" t="str">
        <x:v>servicios</x:v>
      </x:c>
      <x:c r="I10" s="31" t="str">
        <x:v>Chile Central y CIO</x:v>
      </x:c>
      <x:c r="J10" s="31" t="str">
        <x:v>Compresión, particionado temporal y retención por política; ingestión de historiador/telemetría</x:v>
      </x:c>
      <x:c r="K10" s="31" t="str">
        <x:v>Réplica del subconjunto crítico al CIO</x:v>
      </x:c>
      <x:c r="L10" s="31" t="str">
        <x:v>Soporte continuo</x:v>
      </x:c>
      <x:c r="M10" s="31" t="str">
        <x:v>Misma familia PostgreSQL para reducir especialidades</x:v>
      </x:c>
      <x:c r="N10" s="31" t="str">
        <x:v>Subdoc. 5 v2.1</x:v>
      </x:c>
    </x:row>
    <x:row r="11" ht="15" hidden="0" customHeight="1">
      <x:c r="A11" s="40" t="str">
        <x:v>T11-07</x:v>
      </x:c>
      <x:c r="B11" s="31" t="str">
        <x:v>Datos</x:v>
      </x:c>
      <x:c r="C11" s="31" t="str">
        <x:v>Motor analítico columnar</x:v>
      </x:c>
      <x:c r="D11" s="31" t="str">
        <x:v>OVERFORE</x:v>
      </x:c>
      <x:c r="E11" s="31" t="str">
        <x:v>ClickHouse</x:v>
      </x:c>
      <x:c r="F11" s="31" t="str">
        <x:v>24.8 LTS o superior</x:v>
      </x:c>
      <x:c r="G11" s="31" t="str">
        <x:v>1</x:v>
      </x:c>
      <x:c r="H11" s="31" t="str">
        <x:v>clúster</x:v>
      </x:c>
      <x:c r="I11" s="31" t="str">
        <x:v>Chile Central</x:v>
      </x:c>
      <x:c r="J11" s="31" t="str">
        <x:v>Separado del transaccional; tres nodos; ingestión por eventos; reconstruible desde datos fuente</x:v>
      </x:c>
      <x:c r="K11" s="31" t="str">
        <x:v>Réplicas entre zonas; no forma parte del mínimo warm standby CIO</x:v>
      </x:c>
      <x:c r="L11" s="31" t="str">
        <x:v>Soporte 24x7 o servicio administrado</x:v>
      </x:c>
      <x:c r="M11" s="31" t="str">
        <x:v>Escalamiento horizontal</x:v>
      </x:c>
      <x:c r="N11" s="31" t="str">
        <x:v>Subdoc. 5 v2.1; RT-05.25 a 05.30</x:v>
      </x:c>
    </x:row>
    <x:row r="12" ht="15" hidden="0" customHeight="1">
      <x:c r="A12" s="40" t="str">
        <x:v>T11-08</x:v>
      </x:c>
      <x:c r="B12" s="31" t="str">
        <x:v>Datos</x:v>
      </x:c>
      <x:c r="C12" s="31" t="str">
        <x:v>Almacén documental y de objetos</x:v>
      </x:c>
      <x:c r="D12" s="31" t="str">
        <x:v>OVERFORE</x:v>
      </x:c>
      <x:c r="E12" s="31" t="str">
        <x:v>S3-compatible object storage</x:v>
      </x:c>
      <x:c r="F12" s="31" t="str">
        <x:v>Versión soportada vigente</x:v>
      </x:c>
      <x:c r="G12" s="31" t="str">
        <x:v>2</x:v>
      </x:c>
      <x:c r="H12" s="31" t="str">
        <x:v>repositorios</x:v>
      </x:c>
      <x:c r="I12" s="31" t="str">
        <x:v>Chile Central y copia regional</x:v>
      </x:c>
      <x:c r="J12" s="31" t="str">
        <x:v>Versionado, cifrado, object lock, ciclo de vida y exportación abierta</x:v>
      </x:c>
      <x:c r="K12" s="31" t="str">
        <x:v>Copia inmutable regional con credenciales separadas</x:v>
      </x:c>
      <x:c r="L12" s="31" t="str">
        <x:v>Soporte continuo</x:v>
      </x:c>
      <x:c r="M12" s="31" t="str">
        <x:v>Formato S3 reduce bloqueo de proveedor</x:v>
      </x:c>
      <x:c r="N12" s="31" t="str">
        <x:v>Subdoc. 5 v2.1; RT-07.09 a 07.13</x:v>
      </x:c>
    </x:row>
    <x:row r="13" ht="15" hidden="0" customHeight="1">
      <x:c r="A13" s="40" t="str">
        <x:v>T11-09</x:v>
      </x:c>
      <x:c r="B13" s="31" t="str">
        <x:v>Datos</x:v>
      </x:c>
      <x:c r="C13" s="31" t="str">
        <x:v>Índice de búsqueda</x:v>
      </x:c>
      <x:c r="D13" s="31" t="str">
        <x:v>OVERFORE</x:v>
      </x:c>
      <x:c r="E13" s="31" t="str">
        <x:v>OpenSearch</x:v>
      </x:c>
      <x:c r="F13" s="31" t="str">
        <x:v>Versión LTS soportada</x:v>
      </x:c>
      <x:c r="G13" s="31" t="str">
        <x:v>1</x:v>
      </x:c>
      <x:c r="H13" s="31" t="str">
        <x:v>clúster</x:v>
      </x:c>
      <x:c r="I13" s="31" t="str">
        <x:v>Chile Central</x:v>
      </x:c>
      <x:c r="J13" s="31" t="str">
        <x:v>Índice reconstruible; no indexa atributos personales sensibles; nodos privados</x:v>
      </x:c>
      <x:c r="K13" s="31" t="str">
        <x:v>Tres nodos distribuidos en zonas</x:v>
      </x:c>
      <x:c r="L13" s="31" t="str">
        <x:v>Soporte continuo</x:v>
      </x:c>
      <x:c r="M13" s="31" t="str">
        <x:v>Reconstrucción desde fuentes de verdad</x:v>
      </x:c>
      <x:c r="N13" s="31" t="str">
        <x:v>Subdoc. 5 v2.1</x:v>
      </x:c>
    </x:row>
    <x:row r="14" ht="15" hidden="0" customHeight="1">
      <x:c r="A14" s="40" t="str">
        <x:v>T11-10</x:v>
      </x:c>
      <x:c r="B14" s="31" t="str">
        <x:v>Datos</x:v>
      </x:c>
      <x:c r="C14" s="31" t="str">
        <x:v>Caché y estado efímero</x:v>
      </x:c>
      <x:c r="D14" s="31" t="str">
        <x:v>OVERFORE</x:v>
      </x:c>
      <x:c r="E14" s="31" t="str">
        <x:v>Redis administrado o equivalente</x:v>
      </x:c>
      <x:c r="F14" s="31" t="str">
        <x:v>Versión soportada vigente</x:v>
      </x:c>
      <x:c r="G14" s="31" t="str">
        <x:v>1</x:v>
      </x:c>
      <x:c r="H14" s="31" t="str">
        <x:v>servicio HA</x:v>
      </x:c>
      <x:c r="I14" s="31" t="str">
        <x:v>Chile Central</x:v>
      </x:c>
      <x:c r="J14" s="31" t="str">
        <x:v>Caché sin dato sensible en claro; cifrado; red privada; límites de memoria</x:v>
      </x:c>
      <x:c r="K14" s="31" t="str">
        <x:v>Alta disponibilidad por zona</x:v>
      </x:c>
      <x:c r="L14" s="31" t="str">
        <x:v>Soporte cloud</x:v>
      </x:c>
      <x:c r="M14" s="31" t="str">
        <x:v>No es fuente de verdad</x:v>
      </x:c>
      <x:c r="N14" s="31" t="str">
        <x:v>Subdoc. 5 v2.1</x:v>
      </x:c>
    </x:row>
    <x:row r="15" ht="15" hidden="0" customHeight="1">
      <x:c r="A15" s="40" t="str">
        <x:v>T11-11</x:v>
      </x:c>
      <x:c r="B15" s="31" t="str">
        <x:v>Seguridad</x:v>
      </x:c>
      <x:c r="C15" s="31" t="str">
        <x:v>WAF, DDoS y balanceo público</x:v>
      </x:c>
      <x:c r="D15" s="31" t="str">
        <x:v>OVERFORE</x:v>
      </x:c>
      <x:c r="E15" s="31" t="str">
        <x:v>Azure Front Door Premium + WAF o equivalente</x:v>
      </x:c>
      <x:c r="F15" s="31" t="str">
        <x:v>Servicio vigente</x:v>
      </x:c>
      <x:c r="G15" s="31" t="str">
        <x:v>1</x:v>
      </x:c>
      <x:c r="H15" s="31" t="str">
        <x:v>servicio global</x:v>
      </x:c>
      <x:c r="I15" s="31" t="str">
        <x:v>Borde público cloud</x:v>
      </x:c>
      <x:c r="J15" s="31" t="str">
        <x:v>Sólo C-06 y C-07; TLS; rate limit; bot protection; registros al SIEM</x:v>
      </x:c>
      <x:c r="K15" s="31" t="str">
        <x:v>Servicio distribuido; origen privado</x:v>
      </x:c>
      <x:c r="L15" s="31" t="str">
        <x:v>Soporte 24x7</x:v>
      </x:c>
      <x:c r="M15" s="31" t="str">
        <x:v>Reglas exportables y documentadas</x:v>
      </x:c>
      <x:c r="N15" s="31" t="str">
        <x:v>RT-03.04; RT-11.13</x:v>
      </x:c>
    </x:row>
    <x:row r="16" ht="15" hidden="0" customHeight="1">
      <x:c r="A16" s="40" t="str">
        <x:v>T11-12</x:v>
      </x:c>
      <x:c r="B16" s="31" t="str">
        <x:v>Seguridad</x:v>
      </x:c>
      <x:c r="C16" s="31" t="str">
        <x:v>Gestión de secretos y llaves</x:v>
      </x:c>
      <x:c r="D16" s="31" t="str">
        <x:v>OVERFORE</x:v>
      </x:c>
      <x:c r="E16" s="31" t="str">
        <x:v>Azure Key Vault Premium/HSM o equivalente</x:v>
      </x:c>
      <x:c r="F16" s="31" t="str">
        <x:v>Servicio vigente</x:v>
      </x:c>
      <x:c r="G16" s="31" t="str">
        <x:v>2</x:v>
      </x:c>
      <x:c r="H16" s="31" t="str">
        <x:v>bóvedas</x:v>
      </x:c>
      <x:c r="I16" s="31" t="str">
        <x:v>Chile Central y recuperación</x:v>
      </x:c>
      <x:c r="J16" s="31" t="str">
        <x:v>Llaves separadas por ambiente; rotación; RBAC; logs inmutables; claves de respaldo independientes</x:v>
      </x:c>
      <x:c r="K16" s="31" t="str">
        <x:v>Redundancia por zona y bóveda de recuperación</x:v>
      </x:c>
      <x:c r="L16" s="31" t="str">
        <x:v>Soporte 24x7</x:v>
      </x:c>
      <x:c r="M16" s="31" t="str">
        <x:v>Exportabilidad según tipo de llave</x:v>
      </x:c>
      <x:c r="N16" s="31" t="str">
        <x:v>RT-11.04 a 11.10</x:v>
      </x:c>
    </x:row>
    <x:row r="17" ht="21.600000381469727" hidden="0" customHeight="1">
      <x:c r="A17" s="40" t="str">
        <x:v>T11-13</x:v>
      </x:c>
      <x:c r="B17" s="31" t="str">
        <x:v>Operación</x:v>
      </x:c>
      <x:c r="C17" s="31" t="str">
        <x:v>Observabilidad y SIEM</x:v>
      </x:c>
      <x:c r="D17" s="31" t="str">
        <x:v>OVERFORE</x:v>
      </x:c>
      <x:c r="E17" s="31" t="str">
        <x:v>Azure Monitor + OpenTelemetry + Microsoft Sentinel o equivalente</x:v>
      </x:c>
      <x:c r="F17" s="31" t="str">
        <x:v>Servicio vigente</x:v>
      </x:c>
      <x:c r="G17" s="31" t="str">
        <x:v>1</x:v>
      </x:c>
      <x:c r="H17" s="31" t="str">
        <x:v>plataforma</x:v>
      </x:c>
      <x:c r="I17" s="31" t="str">
        <x:v>Nube, Faena, CIO y edge</x:v>
      </x:c>
      <x:c r="J17" s="31" t="str">
        <x:v>Métricas, logs y trazas unificados; retención en línea 12 meses y archivo 24 meses adicionales</x:v>
      </x:c>
      <x:c r="K17" s="31" t="str">
        <x:v>Colectores con buffer local durante cortes</x:v>
      </x:c>
      <x:c r="L17" s="31" t="str">
        <x:v>SOC/NOC 24x7</x:v>
      </x:c>
      <x:c r="M17" s="31" t="str">
        <x:v>OpenTelemetry mantiene portabilidad</x:v>
      </x:c>
      <x:c r="N17" s="31" t="str">
        <x:v>RT-03.16; RT-11.14 a 11.19; RT-14</x:v>
      </x:c>
    </x:row>
    <x:row r="18" ht="15" hidden="0" customHeight="1">
      <x:c r="A18" s="40" t="str">
        <x:v>T11-14</x:v>
      </x:c>
      <x:c r="B18" s="31" t="str">
        <x:v>Infraestructura como código</x:v>
      </x:c>
      <x:c r="C18" s="31" t="str">
        <x:v>Automatización de infraestructura</x:v>
      </x:c>
      <x:c r="D18" s="31" t="str">
        <x:v>OVERFORE</x:v>
      </x:c>
      <x:c r="E18" s="31" t="str">
        <x:v>Terraform/OpenTofu + repositorio Git del CLIENTE</x:v>
      </x:c>
      <x:c r="F18" s="31" t="str">
        <x:v>Versión estable soportada</x:v>
      </x:c>
      <x:c r="G18" s="31" t="str">
        <x:v>1</x:v>
      </x:c>
      <x:c r="H18" s="31" t="str">
        <x:v>toolchain</x:v>
      </x:c>
      <x:c r="I18" s="31" t="str">
        <x:v>Todos los ambientes</x:v>
      </x:c>
      <x:c r="J18" s="31" t="str">
        <x:v>Módulos versionados; revisión por pares; plan/aprobación; sin creación manual en consola</x:v>
      </x:c>
      <x:c r="K18" s="31" t="str">
        <x:v>Estado remoto protegido y respaldado</x:v>
      </x:c>
      <x:c r="L18" s="31" t="str">
        <x:v>Soporte del adjudicatario</x:v>
      </x:c>
      <x:c r="M18" s="31" t="str">
        <x:v>Código y documentación quedan al CLIENTE</x:v>
      </x:c>
      <x:c r="N18" s="31" t="str">
        <x:v>RT-03.03; RT-03.07</x:v>
      </x:c>
    </x:row>
    <x:row r="19" ht="15" hidden="0" customHeight="1">
      <x:c r="A19" s="40" t="str">
        <x:v>T11-15</x:v>
      </x:c>
      <x:c r="B19" s="31" t="str">
        <x:v>DC Faena</x:v>
      </x:c>
      <x:c r="C19" s="31" t="str">
        <x:v>Servidor de virtualización/contenedores</x:v>
      </x:c>
      <x:c r="D19" s="31" t="str">
        <x:v>OVERFORE</x:v>
      </x:c>
      <x:c r="E19" s="31" t="str">
        <x:v>Dell PowerEdge R760xs o equivalente</x:v>
      </x:c>
      <x:c r="F19" s="31" t="str">
        <x:v>Firmware soportado vigente</x:v>
      </x:c>
      <x:c r="G19" s="31" t="str">
        <x:v>3</x:v>
      </x:c>
      <x:c r="H19" s="31" t="str">
        <x:v>unidades</x:v>
      </x:c>
      <x:c r="I19" s="31" t="str">
        <x:v>Sala técnica principal - Faena Aranda</x:v>
      </x:c>
      <x:c r="J19" s="31" t="str">
        <x:v>2U; &gt;=24 núcleos físicos; 256 GB RAM; 2x960 GB SSD RAID1; 4x10/25GbE; TPM 2.0; iDRAC; doble PSU</x:v>
      </x:c>
      <x:c r="K19" s="31" t="str">
        <x:v>Clúster N+1; enlaces y PSU a pares distintos</x:v>
      </x:c>
      <x:c r="L19" s="31" t="str">
        <x:v>5 años ProSupport 24x7, atención en sitio &lt;=4 h</x:v>
      </x:c>
      <x:c r="M19" s="31" t="str">
        <x:v>Ampliable en RAM/CPU; repuestos en Chile</x:v>
      </x:c>
      <x:c r="N19" s="31" t="str">
        <x:v>RT-03.14; RT-08.01 a 08.06</x:v>
      </x:c>
    </x:row>
    <x:row r="20" ht="15" hidden="0" customHeight="1">
      <x:c r="A20" s="40" t="str">
        <x:v>T11-16</x:v>
      </x:c>
      <x:c r="B20" s="31" t="str">
        <x:v>DC CIO</x:v>
      </x:c>
      <x:c r="C20" s="31" t="str">
        <x:v>Servidor de sitio secundario warm standby</x:v>
      </x:c>
      <x:c r="D20" s="31" t="str">
        <x:v>OVERFORE</x:v>
      </x:c>
      <x:c r="E20" s="31" t="str">
        <x:v>Dell PowerEdge R760xs o equivalente</x:v>
      </x:c>
      <x:c r="F20" s="31" t="str">
        <x:v>Firmware soportado vigente</x:v>
      </x:c>
      <x:c r="G20" s="31" t="str">
        <x:v>3</x:v>
      </x:c>
      <x:c r="H20" s="31" t="str">
        <x:v>unidades</x:v>
      </x:c>
      <x:c r="I20" s="31" t="str">
        <x:v>CIO Antofagasta</x:v>
      </x:c>
      <x:c r="J20" s="31" t="str">
        <x:v>Misma familia; &gt;=24 núcleos; 256 GB RAM; 2x960 GB SSD RAID1; 4x10/25GbE; TPM; doble PSU</x:v>
      </x:c>
      <x:c r="K20" s="31" t="str">
        <x:v>Ejecuta C01,C02,C05,C08,C15,C16,C20,C22 con un nodo fuera</x:v>
      </x:c>
      <x:c r="L20" s="31" t="str">
        <x:v>5 años 24x7 en sitio &lt;=4 h</x:v>
      </x:c>
      <x:c r="M20" s="31" t="str">
        <x:v>No replica analítica completa ni portales públicos</x:v>
      </x:c>
      <x:c r="N20" s="31" t="str">
        <x:v>RT-07.01 a 07.08; Matriz de distribución v1.0</x:v>
      </x:c>
    </x:row>
    <x:row r="21" ht="15" hidden="0" customHeight="1">
      <x:c r="A21" s="40" t="str">
        <x:v>T11-17</x:v>
      </x:c>
      <x:c r="B21" s="31" t="str">
        <x:v>DC Faena</x:v>
      </x:c>
      <x:c r="C21" s="31" t="str">
        <x:v>Almacenamiento local operacional</x:v>
      </x:c>
      <x:c r="D21" s="31" t="str">
        <x:v>OVERFORE</x:v>
      </x:c>
      <x:c r="E21" s="31" t="str">
        <x:v>Dell PowerVault ME5024 o equivalente</x:v>
      </x:c>
      <x:c r="F21" s="31" t="str">
        <x:v>Firmware soportado vigente</x:v>
      </x:c>
      <x:c r="G21" s="31" t="str">
        <x:v>1</x:v>
      </x:c>
      <x:c r="H21" s="31" t="str">
        <x:v>sistema</x:v>
      </x:c>
      <x:c r="I21" s="31" t="str">
        <x:v>Sala técnica principal - Faena Aranda</x:v>
      </x:c>
      <x:c r="J21" s="31" t="str">
        <x:v>Doble controladora; 24 TB útiles iniciales; RAID6; discos hot spare; cifrado; snapshots; 25GbE</x:v>
      </x:c>
      <x:c r="K21" s="31" t="str">
        <x:v>Tolerancia a controladora y a dos discos; rutas multipath</x:v>
      </x:c>
      <x:c r="L21" s="31" t="str">
        <x:v>5 años 24x7</x:v>
      </x:c>
      <x:c r="M21" s="31" t="str">
        <x:v>Expansión sin rediseño; ocupación inicial &lt;=70%</x:v>
      </x:c>
      <x:c r="N21" s="31" t="str">
        <x:v>RT-08.02; RT-03.14</x:v>
      </x:c>
    </x:row>
    <x:row r="22" ht="15" hidden="0" customHeight="1">
      <x:c r="A22" s="40" t="str">
        <x:v>T11-18</x:v>
      </x:c>
      <x:c r="B22" s="31" t="str">
        <x:v>DC CIO</x:v>
      </x:c>
      <x:c r="C22" s="31" t="str">
        <x:v>Almacenamiento de recuperación</x:v>
      </x:c>
      <x:c r="D22" s="31" t="str">
        <x:v>OVERFORE</x:v>
      </x:c>
      <x:c r="E22" s="31" t="str">
        <x:v>Dell PowerVault ME5024 o equivalente</x:v>
      </x:c>
      <x:c r="F22" s="31" t="str">
        <x:v>Firmware soportado vigente</x:v>
      </x:c>
      <x:c r="G22" s="31" t="str">
        <x:v>1</x:v>
      </x:c>
      <x:c r="H22" s="31" t="str">
        <x:v>sistema</x:v>
      </x:c>
      <x:c r="I22" s="31" t="str">
        <x:v>CIO Antofagasta</x:v>
      </x:c>
      <x:c r="J22" s="31" t="str">
        <x:v>Doble controladora; 40 TB útiles iniciales; RAID6; hot spare; cifrado; snapshots; 25GbE</x:v>
      </x:c>
      <x:c r="K22" s="31" t="str">
        <x:v>Aloja datos críticos y cola para failover; no es copia de todo el lago analítico</x:v>
      </x:c>
      <x:c r="L22" s="31" t="str">
        <x:v>5 años 24x7</x:v>
      </x:c>
      <x:c r="M22" s="31" t="str">
        <x:v>Expansión por bandejas</x:v>
      </x:c>
      <x:c r="N22" s="31" t="str">
        <x:v>RT-07.03; RT-08.02</x:v>
      </x:c>
    </x:row>
    <x:row r="23" ht="15" hidden="0" customHeight="1">
      <x:c r="A23" s="40" t="str">
        <x:v>T11-19</x:v>
      </x:c>
      <x:c r="B23" s="31" t="str">
        <x:v>Respaldo</x:v>
      </x:c>
      <x:c r="C23" s="31" t="str">
        <x:v>Repositorio inmutable on-premise</x:v>
      </x:c>
      <x:c r="D23" s="31" t="str">
        <x:v>OVERFORE</x:v>
      </x:c>
      <x:c r="E23" s="31" t="str">
        <x:v>Dell PowerProtect DD o equivalente</x:v>
      </x:c>
      <x:c r="F23" s="31" t="str">
        <x:v>Versión soportada vigente</x:v>
      </x:c>
      <x:c r="G23" s="31" t="str">
        <x:v>2</x:v>
      </x:c>
      <x:c r="H23" s="31" t="str">
        <x:v>appliances</x:v>
      </x:c>
      <x:c r="I23" s="31" t="str">
        <x:v>Faena y CIO</x:v>
      </x:c>
      <x:c r="J23" s="31" t="str">
        <x:v>&gt;=60 TB útiles por sitio; deduplicación; cifrado; inmutabilidad; cuentas separadas</x:v>
      </x:c>
      <x:c r="K23" s="31" t="str">
        <x:v>Parte del esquema 3-2-1-1-0; copia fuera de sitio</x:v>
      </x:c>
      <x:c r="L23" s="31" t="str">
        <x:v>5 años 24x7</x:v>
      </x:c>
      <x:c r="M23" s="31" t="str">
        <x:v>Capacidad revisada trimestralmente</x:v>
      </x:c>
      <x:c r="N23" s="31" t="str">
        <x:v>RT-07.09 a 07.14</x:v>
      </x:c>
    </x:row>
    <x:row r="24" ht="15" hidden="0" customHeight="1">
      <x:c r="A24" s="40" t="str">
        <x:v>T11-20</x:v>
      </x:c>
      <x:c r="B24" s="31" t="str">
        <x:v>Red DC</x:v>
      </x:c>
      <x:c r="C24" s="31" t="str">
        <x:v>Switch core 10/25 GbE</x:v>
      </x:c>
      <x:c r="D24" s="31" t="str">
        <x:v>OVERFORE</x:v>
      </x:c>
      <x:c r="E24" s="31" t="str">
        <x:v>Cisco Catalyst C9500-24Y4C o equivalente</x:v>
      </x:c>
      <x:c r="F24" s="31" t="str">
        <x:v>IOS XE soportado vigente</x:v>
      </x:c>
      <x:c r="G24" s="31" t="str">
        <x:v>4</x:v>
      </x:c>
      <x:c r="H24" s="31" t="str">
        <x:v>unidades</x:v>
      </x:c>
      <x:c r="I24" s="31" t="str">
        <x:v>2 Faena + 2 CIO</x:v>
      </x:c>
      <x:c r="J24" s="31" t="str">
        <x:v>24 puertos 1/10/25G; uplinks 40/100G; stacking/MLAG equivalente; telemetría; 802.1X</x:v>
      </x:c>
      <x:c r="K24" s="31" t="str">
        <x:v>Par HA por sitio; fuentes y rutas separadas</x:v>
      </x:c>
      <x:c r="L24" s="31" t="str">
        <x:v>5 años 24x7</x:v>
      </x:c>
      <x:c r="M24" s="31" t="str">
        <x:v>&gt;=30% de puertos libres iniciales</x:v>
      </x:c>
      <x:c r="N24" s="31" t="str">
        <x:v>RT-08.03 a 08.05</x:v>
      </x:c>
    </x:row>
    <x:row r="25" ht="15" hidden="0" customHeight="1">
      <x:c r="A25" s="40" t="str">
        <x:v>T11-21</x:v>
      </x:c>
      <x:c r="B25" s="31" t="str">
        <x:v>Seguridad perimetral</x:v>
      </x:c>
      <x:c r="C25" s="31" t="str">
        <x:v>NGFW de sitio</x:v>
      </x:c>
      <x:c r="D25" s="31" t="str">
        <x:v>OVERFORE</x:v>
      </x:c>
      <x:c r="E25" s="31" t="str">
        <x:v>Fortinet FortiGate 200G o equivalente</x:v>
      </x:c>
      <x:c r="F25" s="31" t="str">
        <x:v>Firmware LTS soportado</x:v>
      </x:c>
      <x:c r="G25" s="31" t="str">
        <x:v>4</x:v>
      </x:c>
      <x:c r="H25" s="31" t="str">
        <x:v>unidades</x:v>
      </x:c>
      <x:c r="I25" s="31" t="str">
        <x:v>2 Faena + 2 CIO</x:v>
      </x:c>
      <x:c r="J25" s="31" t="str">
        <x:v>HA; IPS; VPN IPsec; SD-WAN; inspección TLS; segmentación; envío de logs</x:v>
      </x:c>
      <x:c r="K25" s="31" t="str">
        <x:v>Par active-passive por sitio; capacidad con inspección habilitada</x:v>
      </x:c>
      <x:c r="L25" s="31" t="str">
        <x:v>5 años UTP/Enterprise + 24x7</x:v>
      </x:c>
      <x:c r="M25" s="31" t="str">
        <x:v>Renovación de suscripciones durante 56 meses</x:v>
      </x:c>
      <x:c r="N25" s="31" t="str">
        <x:v>RT-08.03; RT-11.01 a 11.05</x:v>
      </x:c>
    </x:row>
    <x:row r="26" ht="15" hidden="0" customHeight="1">
      <x:c r="A26" s="40" t="str">
        <x:v>T11-22</x:v>
      </x:c>
      <x:c r="B26" s="31" t="str">
        <x:v>WAN</x:v>
      </x:c>
      <x:c r="C26" s="31" t="str">
        <x:v>Router de borde de sitio</x:v>
      </x:c>
      <x:c r="D26" s="31" t="str">
        <x:v>OVERFORE</x:v>
      </x:c>
      <x:c r="E26" s="31" t="str">
        <x:v>Cisco Catalyst 8300 o equivalente</x:v>
      </x:c>
      <x:c r="F26" s="31" t="str">
        <x:v>IOS XE soportado vigente</x:v>
      </x:c>
      <x:c r="G26" s="31" t="str">
        <x:v>4</x:v>
      </x:c>
      <x:c r="H26" s="31" t="str">
        <x:v>unidades</x:v>
      </x:c>
      <x:c r="I26" s="31" t="str">
        <x:v>2 Faena + 2 CIO</x:v>
      </x:c>
      <x:c r="J26" s="31" t="str">
        <x:v>Doble WAN; BGP; IPsec; SD-WAN; QoS; telemetría; doble PSU</x:v>
      </x:c>
      <x:c r="K26" s="31" t="str">
        <x:v>Un router por carrier y entrada física</x:v>
      </x:c>
      <x:c r="L26" s="31" t="str">
        <x:v>5 años 24x7</x:v>
      </x:c>
      <x:c r="M26" s="31" t="str">
        <x:v>Módulos reemplazables</x:v>
      </x:c>
      <x:c r="N26" s="31" t="str">
        <x:v>RT-03.17; RT-06.32 a 06.34</x:v>
      </x:c>
    </x:row>
    <x:row r="27" ht="15" hidden="0" customHeight="1">
      <x:c r="A27" s="40" t="str">
        <x:v>T11-23</x:v>
      </x:c>
      <x:c r="B27" s="31" t="str">
        <x:v>Conectividad</x:v>
      </x:c>
      <x:c r="C27" s="31" t="str">
        <x:v>Enlace WAN carrier A</x:v>
      </x:c>
      <x:c r="D27" s="31" t="str">
        <x:v>OVERFORE</x:v>
      </x:c>
      <x:c r="E27" s="31" t="str">
        <x:v>Servicio Ethernet/IP empresarial</x:v>
      </x:c>
      <x:c r="F27" s="31" t="str">
        <x:v>N/A</x:v>
      </x:c>
      <x:c r="G27" s="31" t="str">
        <x:v>2</x:v>
      </x:c>
      <x:c r="H27" s="31" t="str">
        <x:v>enlaces</x:v>
      </x:c>
      <x:c r="I27" s="31" t="str">
        <x:v>Faena y CIO hacia Azure</x:v>
      </x:c>
      <x:c r="J27" s="31" t="str">
        <x:v>&gt;=100 Mbps simétricos por sitio; SLA &gt;=99,95%; ruta física documentada; BGP/IPsec</x:v>
      </x:c>
      <x:c r="K27" s="31" t="str">
        <x:v>Diverso de carrier B</x:v>
      </x:c>
      <x:c r="L27" s="31" t="str">
        <x:v>Soporte 24x7</x:v>
      </x:c>
      <x:c r="M27" s="31" t="str">
        <x:v>Capacidad duplica el peak estimado de 50 Mbps</x:v>
      </x:c>
      <x:c r="N27" s="31" t="str">
        <x:v>RT-03.17; RT-03.20</x:v>
      </x:c>
    </x:row>
    <x:row r="28" ht="15" hidden="0" customHeight="1">
      <x:c r="A28" s="40" t="str">
        <x:v>T11-24</x:v>
      </x:c>
      <x:c r="B28" s="31" t="str">
        <x:v>Conectividad</x:v>
      </x:c>
      <x:c r="C28" s="31" t="str">
        <x:v>Enlace WAN carrier B</x:v>
      </x:c>
      <x:c r="D28" s="31" t="str">
        <x:v>OVERFORE</x:v>
      </x:c>
      <x:c r="E28" s="31" t="str">
        <x:v>Servicio Ethernet/IP empresarial</x:v>
      </x:c>
      <x:c r="F28" s="31" t="str">
        <x:v>N/A</x:v>
      </x:c>
      <x:c r="G28" s="31" t="str">
        <x:v>2</x:v>
      </x:c>
      <x:c r="H28" s="31" t="str">
        <x:v>enlaces</x:v>
      </x:c>
      <x:c r="I28" s="31" t="str">
        <x:v>Faena y CIO hacia Azure</x:v>
      </x:c>
      <x:c r="J28" s="31" t="str">
        <x:v>&gt;=100 Mbps simétricos por sitio; proveedor, ducto y punto de entrada distintos; failover automático</x:v>
      </x:c>
      <x:c r="K28" s="31" t="str">
        <x:v>Diversidad física y contractual</x:v>
      </x:c>
      <x:c r="L28" s="31" t="str">
        <x:v>Soporte 24x7</x:v>
      </x:c>
      <x:c r="M28" s="31" t="str">
        <x:v>Prueba de corte trimestral</x:v>
      </x:c>
      <x:c r="N28" s="31" t="str">
        <x:v>RT-03.17; RT-06.32</x:v>
      </x:c>
    </x:row>
    <x:row r="29" ht="15" hidden="0" customHeight="1">
      <x:c r="A29" s="40" t="str">
        <x:v>T11-25</x:v>
      </x:c>
      <x:c r="B29" s="31" t="str">
        <x:v>DC</x:v>
      </x:c>
      <x:c r="C29" s="31" t="str">
        <x:v>Racks de servidores 42U</x:v>
      </x:c>
      <x:c r="D29" s="31" t="str">
        <x:v>CLIENTE obra / OVERFORE especifica</x:v>
      </x:c>
      <x:c r="E29" s="31" t="str">
        <x:v>APC NetShelter SX o equivalente</x:v>
      </x:c>
      <x:c r="F29" s="31" t="str">
        <x:v>N/A</x:v>
      </x:c>
      <x:c r="G29" s="31" t="str">
        <x:v>4</x:v>
      </x:c>
      <x:c r="H29" s="31" t="str">
        <x:v>racks</x:v>
      </x:c>
      <x:c r="I29" s="31" t="str">
        <x:v>2 Faena + 2 CIO</x:v>
      </x:c>
      <x:c r="J29" s="31" t="str">
        <x:v>Racks separados de comunicaciones; puertas; tierra; sensores; PDUs A/B; &gt;=30% U libre</x:v>
      </x:c>
      <x:c r="K29" s="31" t="str">
        <x:v>Distribución servidores/datos/backup</x:v>
      </x:c>
      <x:c r="L29" s="31" t="str">
        <x:v>Garantía fabricante</x:v>
      </x:c>
      <x:c r="M29" s="31" t="str">
        <x:v>Ocupación y crecimiento documentados</x:v>
      </x:c>
      <x:c r="N29" s="31" t="str">
        <x:v>RT-06.03 a 06.05</x:v>
      </x:c>
    </x:row>
    <x:row r="30" ht="15" hidden="0" customHeight="1">
      <x:c r="A30" s="40" t="str">
        <x:v>T11-26</x:v>
      </x:c>
      <x:c r="B30" s="31" t="str">
        <x:v>DC</x:v>
      </x:c>
      <x:c r="C30" s="31" t="str">
        <x:v>Racks de comunicaciones 42U</x:v>
      </x:c>
      <x:c r="D30" s="31" t="str">
        <x:v>CLIENTE obra / OVERFORE especifica</x:v>
      </x:c>
      <x:c r="E30" s="31" t="str">
        <x:v>APC NetShelter SX o equivalente</x:v>
      </x:c>
      <x:c r="F30" s="31" t="str">
        <x:v>N/A</x:v>
      </x:c>
      <x:c r="G30" s="31" t="str">
        <x:v>2</x:v>
      </x:c>
      <x:c r="H30" s="31" t="str">
        <x:v>racks</x:v>
      </x:c>
      <x:c r="I30" s="31" t="str">
        <x:v>1 Faena + 1 CIO</x:v>
      </x:c>
      <x:c r="J30" s="31" t="str">
        <x:v>Separados de servidores; gestión de cableado; tierra; sensores; PDU A/B; &gt;=30% U libre</x:v>
      </x:c>
      <x:c r="K30" s="31" t="str">
        <x:v>Equipos de carrier, router, firewall y core</x:v>
      </x:c>
      <x:c r="L30" s="31" t="str">
        <x:v>Garantía fabricante</x:v>
      </x:c>
      <x:c r="M30" s="31" t="str">
        <x:v>Etiquetado y certificación de enlaces</x:v>
      </x:c>
      <x:c r="N30" s="31" t="str">
        <x:v>RT-06.04 a 06.05</x:v>
      </x:c>
    </x:row>
    <x:row r="31" ht="15" hidden="0" customHeight="1">
      <x:c r="A31" s="40" t="str">
        <x:v>T11-27</x:v>
      </x:c>
      <x:c r="B31" s="31" t="str">
        <x:v>Energía</x:v>
      </x:c>
      <x:c r="C31" s="31" t="str">
        <x:v>UPS modular de sala</x:v>
      </x:c>
      <x:c r="D31" s="31" t="str">
        <x:v>CLIENTE obra / OVERFORE especifica</x:v>
      </x:c>
      <x:c r="E31" s="31" t="str">
        <x:v>Schneider Galaxy VS o equivalente</x:v>
      </x:c>
      <x:c r="F31" s="31" t="str">
        <x:v>N/A</x:v>
      </x:c>
      <x:c r="G31" s="31" t="str">
        <x:v>2</x:v>
      </x:c>
      <x:c r="H31" s="31" t="str">
        <x:v>sistemas</x:v>
      </x:c>
      <x:c r="I31" s="31" t="str">
        <x:v>Faena y CIO</x:v>
      </x:c>
      <x:c r="J31" s="31" t="str">
        <x:v>N+1; autonomía &gt;=30 min a plena carga; bypass de mantenimiento; SNMP; factor de potencia &gt;=0,99</x:v>
      </x:c>
      <x:c r="K31" s="31" t="str">
        <x:v>Alimenta PDU A/B y circuitos independientes</x:v>
      </x:c>
      <x:c r="L31" s="31" t="str">
        <x:v>Mantención 24x7</x:v>
      </x:c>
      <x:c r="M31" s="31" t="str">
        <x:v>Baterías con monitoreo y recambio planificado</x:v>
      </x:c>
      <x:c r="N31" s="31" t="str">
        <x:v>RT-06.07; RT-06.11 a 06.12</x:v>
      </x:c>
    </x:row>
    <x:row r="32" ht="15" hidden="0" customHeight="1">
      <x:c r="A32" s="40" t="str">
        <x:v>T11-28</x:v>
      </x:c>
      <x:c r="B32" s="31" t="str">
        <x:v>Energía</x:v>
      </x:c>
      <x:c r="C32" s="31" t="str">
        <x:v>Generación y ATS</x:v>
      </x:c>
      <x:c r="D32" s="31" t="str">
        <x:v>CLIENTE obra / OVERFORE especifica</x:v>
      </x:c>
      <x:c r="E32" s="31" t="str">
        <x:v>Grupo electrógeno dimensionado por ingeniería</x:v>
      </x:c>
      <x:c r="F32" s="31" t="str">
        <x:v>N/A</x:v>
      </x:c>
      <x:c r="G32" s="31" t="str">
        <x:v>2</x:v>
      </x:c>
      <x:c r="H32" s="31" t="str">
        <x:v>sistemas</x:v>
      </x:c>
      <x:c r="I32" s="31" t="str">
        <x:v>Faena y CIO</x:v>
      </x:c>
      <x:c r="J32" s="31" t="str">
        <x:v>Autonomía &gt;=24 h; ATS; combustible y contrato de reabastecimiento; pruebas bajo carga</x:v>
      </x:c>
      <x:c r="K32" s="31" t="str">
        <x:v>Respaldo de climatización y TI</x:v>
      </x:c>
      <x:c r="L32" s="31" t="str">
        <x:v>Mantención preventiva</x:v>
      </x:c>
      <x:c r="M32" s="31" t="str">
        <x:v>Potencia final según cálculo kW/PUE</x:v>
      </x:c>
      <x:c r="N32" s="31" t="str">
        <x:v>RT-06.08 a 06.10</x:v>
      </x:c>
    </x:row>
    <x:row r="33" ht="15" hidden="0" customHeight="1">
      <x:c r="A33" s="40" t="str">
        <x:v>T11-29</x:v>
      </x:c>
      <x:c r="B33" s="31" t="str">
        <x:v>Climatización</x:v>
      </x:c>
      <x:c r="C33" s="31" t="str">
        <x:v>Climatización de precisión</x:v>
      </x:c>
      <x:c r="D33" s="31" t="str">
        <x:v>CLIENTE obra / OVERFORE especifica</x:v>
      </x:c>
      <x:c r="E33" s="31" t="str">
        <x:v>CRAC/InRow o equivalente</x:v>
      </x:c>
      <x:c r="F33" s="31" t="str">
        <x:v>N/A</x:v>
      </x:c>
      <x:c r="G33" s="31" t="str">
        <x:v>2</x:v>
      </x:c>
      <x:c r="H33" s="31" t="str">
        <x:v>sistemas N+1</x:v>
      </x:c>
      <x:c r="I33" s="31" t="str">
        <x:v>Faena y CIO</x:v>
      </x:c>
      <x:c r="J33" s="31" t="str">
        <x:v>Control temperatura/humedad 24x7; fuga de agua; sensores; contención de pasillo; integración C-22</x:v>
      </x:c>
      <x:c r="K33" s="31" t="str">
        <x:v>N+1 por sitio</x:v>
      </x:c>
      <x:c r="L33" s="31" t="str">
        <x:v>Mantención 24x7</x:v>
      </x:c>
      <x:c r="M33" s="31" t="str">
        <x:v>Capacidad final según carga térmica</x:v>
      </x:c>
      <x:c r="N33" s="31" t="str">
        <x:v>RT-06.13 a 06.15</x:v>
      </x:c>
    </x:row>
    <x:row r="34" ht="15" hidden="0" customHeight="1">
      <x:c r="A34" s="40" t="str">
        <x:v>T11-30</x:v>
      </x:c>
      <x:c r="B34" s="31" t="str">
        <x:v>Incendio</x:v>
      </x:c>
      <x:c r="C34" s="31" t="str">
        <x:v>Detección temprana y agente limpio</x:v>
      </x:c>
      <x:c r="D34" s="31" t="str">
        <x:v>CLIENTE obra / OVERFORE especifica</x:v>
      </x:c>
      <x:c r="E34" s="31" t="str">
        <x:v>VESDA/AnaLASER + agente limpio equivalente FM-200</x:v>
      </x:c>
      <x:c r="F34" s="31" t="str">
        <x:v>N/A</x:v>
      </x:c>
      <x:c r="G34" s="31" t="str">
        <x:v>2</x:v>
      </x:c>
      <x:c r="H34" s="31" t="str">
        <x:v>sistemas</x:v>
      </x:c>
      <x:c r="I34" s="31" t="str">
        <x:v>Faena y CIO</x:v>
      </x:c>
      <x:c r="J34" s="31" t="str">
        <x:v>Aspiración láser; extinción automática UL/NFPA; extintores portátiles; alerta a NOC y CLIENTE</x:v>
      </x:c>
      <x:c r="K34" s="31" t="str">
        <x:v>Cobertura de sala y zonas técnicas</x:v>
      </x:c>
      <x:c r="L34" s="31" t="str">
        <x:v>Certificación y mantención vigente</x:v>
      </x:c>
      <x:c r="M34" s="31" t="str">
        <x:v>Prueba semestral</x:v>
      </x:c>
      <x:c r="N34" s="31" t="str">
        <x:v>RT-06.16 a 06.19</x:v>
      </x:c>
    </x:row>
    <x:row r="35" ht="15" hidden="0" customHeight="1">
      <x:c r="A35" s="40" t="str">
        <x:v>T11-31</x:v>
      </x:c>
      <x:c r="B35" s="31" t="str">
        <x:v>Seguridad física</x:v>
      </x:c>
      <x:c r="C35" s="31" t="str">
        <x:v>Control biométrico, mantrap y CCTV</x:v>
      </x:c>
      <x:c r="D35" s="31" t="str">
        <x:v>CLIENTE obra / OVERFORE especifica</x:v>
      </x:c>
      <x:c r="E35" s="31" t="str">
        <x:v>HID/Morpho + CCTV IP o equivalente</x:v>
      </x:c>
      <x:c r="F35" s="31" t="str">
        <x:v>N/A</x:v>
      </x:c>
      <x:c r="G35" s="31" t="str">
        <x:v>2</x:v>
      </x:c>
      <x:c r="H35" s="31" t="str">
        <x:v>sistemas</x:v>
      </x:c>
      <x:c r="I35" s="31" t="str">
        <x:v>Faena y CIO</x:v>
      </x:c>
      <x:c r="J35" s="31" t="str">
        <x:v>Facial primaria; AFIS respaldo; estación de enrolamiento; paso una persona; bitácora; video &gt;=30 días</x:v>
      </x:c>
      <x:c r="K35" s="31" t="str">
        <x:v>Sin acceso por llave simple</x:v>
      </x:c>
      <x:c r="L35" s="31" t="str">
        <x:v>Soporte 24x7</x:v>
      </x:c>
      <x:c r="M35" s="31" t="str">
        <x:v>Grabación anterior en medio secundario</x:v>
      </x:c>
      <x:c r="N35" s="31" t="str">
        <x:v>RT-06.20 a 06.25</x:v>
      </x:c>
    </x:row>
    <x:row r="36" ht="15" hidden="0" customHeight="1">
      <x:c r="A36" s="40" t="str">
        <x:v>T11-32</x:v>
      </x:c>
      <x:c r="B36" s="31" t="str">
        <x:v>Operación</x:v>
      </x:c>
      <x:c r="C36" s="31" t="str">
        <x:v>Estación de administración con dos monitores</x:v>
      </x:c>
      <x:c r="D36" s="31" t="str">
        <x:v>OVERFORE</x:v>
      </x:c>
      <x:c r="E36" s="31" t="str">
        <x:v>Dell Precision 3680 o equivalente</x:v>
      </x:c>
      <x:c r="F36" s="31" t="str">
        <x:v>SO soportado vigente</x:v>
      </x:c>
      <x:c r="G36" s="31" t="str">
        <x:v>6</x:v>
      </x:c>
      <x:c r="H36" s="31" t="str">
        <x:v>puestos</x:v>
      </x:c>
      <x:c r="I36" s="31" t="str">
        <x:v>4 Faena + 2 CIO</x:v>
      </x:c>
      <x:c r="J36" s="31" t="str">
        <x:v>CPU empresarial; 32 GB RAM; SSD 1 TB; 2 monitores 27”; TPM; cifrado; EDR; control USB</x:v>
      </x:c>
      <x:c r="K36" s="31" t="str">
        <x:v>1 unidad adicional cubierta por stock general</x:v>
      </x:c>
      <x:c r="L36" s="31" t="str">
        <x:v>5 años soporte</x:v>
      </x:c>
      <x:c r="M36" s="31" t="str">
        <x:v>Gestión centralizada</x:v>
      </x:c>
      <x:c r="N36" s="31" t="str">
        <x:v>RT-06.29; RT-08.07 a 08.09</x:v>
      </x:c>
    </x:row>
    <x:row r="37" ht="21.600000381469727" hidden="0" customHeight="1">
      <x:c r="A37" s="40" t="str">
        <x:v>T11-33</x:v>
      </x:c>
      <x:c r="B37" s="31" t="str">
        <x:v>Edge</x:v>
      </x:c>
      <x:c r="C37" s="31" t="str">
        <x:v>Servidor industrial C-04</x:v>
      </x:c>
      <x:c r="D37" s="31" t="str">
        <x:v>OVERFORE</x:v>
      </x:c>
      <x:c r="E37" s="31" t="str">
        <x:v>Dell PowerEdge XR4000 o equivalente</x:v>
      </x:c>
      <x:c r="F37" s="31" t="str">
        <x:v>Firmware/OS soportados</x:v>
      </x:c>
      <x:c r="G37" s="31" t="str">
        <x:v>9</x:v>
      </x:c>
      <x:c r="H37" s="31" t="str">
        <x:v>unidades</x:v>
      </x:c>
      <x:c r="I37" s="31" t="str">
        <x:v>2 por Portería, Planta, Relaves y Puerto + 1 repuesto Faena</x:v>
      </x:c>
      <x:c r="J37" s="31" t="str">
        <x:v>64 GB RAM; 2x1,92 TB SSD RAID1; TPM; &gt;=4 NIC; gestión remota; rango térmico/altura validados</x:v>
      </x:c>
      <x:c r="K37" s="31" t="str">
        <x:v>Par active-passive por gabinete; 1 repuesto precargado</x:v>
      </x:c>
      <x:c r="L37" s="31" t="str">
        <x:v>5 años 24x7; cambio &lt;=4 h</x:v>
      </x:c>
      <x:c r="M37" s="31" t="str">
        <x:v>Imagen IaC; ciclo 5 años</x:v>
      </x:c>
      <x:c r="N37" s="31" t="str">
        <x:v>RT-03.10 a 03.18; RT-08.01 a 08.06</x:v>
      </x:c>
    </x:row>
    <x:row r="38" ht="15" hidden="0" customHeight="1">
      <x:c r="A38" s="40" t="str">
        <x:v>T11-34</x:v>
      </x:c>
      <x:c r="B38" s="31" t="str">
        <x:v>Edge</x:v>
      </x:c>
      <x:c r="C38" s="31" t="str">
        <x:v>Router industrial dual-WAN</x:v>
      </x:c>
      <x:c r="D38" s="31" t="str">
        <x:v>OVERFORE</x:v>
      </x:c>
      <x:c r="E38" s="31" t="str">
        <x:v>Cisco Catalyst IR1101 o equivalente</x:v>
      </x:c>
      <x:c r="F38" s="31" t="str">
        <x:v>IOS XE soportado vigente</x:v>
      </x:c>
      <x:c r="G38" s="31" t="str">
        <x:v>9</x:v>
      </x:c>
      <x:c r="H38" s="31" t="str">
        <x:v>unidades</x:v>
      </x:c>
      <x:c r="I38" s="31" t="str">
        <x:v>2 por gabinete edge + 1 repuesto</x:v>
      </x:c>
      <x:c r="J38" s="31" t="str">
        <x:v>Ethernet/fibra + 4G/5G; IPsec/SD-WAN; doble alimentación; temperatura extendida; altura validada</x:v>
      </x:c>
      <x:c r="K38" s="31" t="str">
        <x:v>Par por sitio y carrier alternativo</x:v>
      </x:c>
      <x:c r="L38" s="31" t="str">
        <x:v>5 años 24x7</x:v>
      </x:c>
      <x:c r="M38" s="31" t="str">
        <x:v>Repuesto precargado en Faena</x:v>
      </x:c>
      <x:c r="N38" s="31" t="str">
        <x:v>RT-03.17; RT-08.16</x:v>
      </x:c>
    </x:row>
    <x:row r="39" ht="15" hidden="0" customHeight="1">
      <x:c r="A39" s="40" t="str">
        <x:v>T11-35</x:v>
      </x:c>
      <x:c r="B39" s="31" t="str">
        <x:v>Edge</x:v>
      </x:c>
      <x:c r="C39" s="31" t="str">
        <x:v>Switch industrial administrable</x:v>
      </x:c>
      <x:c r="D39" s="31" t="str">
        <x:v>OVERFORE</x:v>
      </x:c>
      <x:c r="E39" s="31" t="str">
        <x:v>Cisco Catalyst IE3400 o equivalente</x:v>
      </x:c>
      <x:c r="F39" s="31" t="str">
        <x:v>IOS XE soportado vigente</x:v>
      </x:c>
      <x:c r="G39" s="31" t="str">
        <x:v>9</x:v>
      </x:c>
      <x:c r="H39" s="31" t="str">
        <x:v>unidades</x:v>
      </x:c>
      <x:c r="I39" s="31" t="str">
        <x:v>2 por gabinete edge + 1 repuesto</x:v>
      </x:c>
      <x:c r="J39" s="31" t="str">
        <x:v>Fanless; doble DC; SFP; VLAN/VRF; 802.1X; QoS; temperatura extendida</x:v>
      </x:c>
      <x:c r="K39" s="31" t="str">
        <x:v>Par por sitio; anillo/dual-homing</x:v>
      </x:c>
      <x:c r="L39" s="31" t="str">
        <x:v>5 años 24x7</x:v>
      </x:c>
      <x:c r="M39" s="31" t="str">
        <x:v>Repuesto precargado</x:v>
      </x:c>
      <x:c r="N39" s="31" t="str">
        <x:v>RT-08.03 a 08.05</x:v>
      </x:c>
    </x:row>
    <x:row r="40" ht="21.600000381469727" hidden="0" customHeight="1">
      <x:c r="A40" s="40" t="str">
        <x:v>T11-36</x:v>
      </x:c>
      <x:c r="B40" s="31" t="str">
        <x:v>Edge</x:v>
      </x:c>
      <x:c r="C40" s="31" t="str">
        <x:v>Gabinete industrial</x:v>
      </x:c>
      <x:c r="D40" s="31" t="str">
        <x:v>CLIENTE compra / OVERFORE especifica</x:v>
      </x:c>
      <x:c r="E40" s="31" t="str">
        <x:v>Rittal/Schneider o equivalente</x:v>
      </x:c>
      <x:c r="F40" s="31" t="str">
        <x:v>N/A</x:v>
      </x:c>
      <x:c r="G40" s="31" t="str">
        <x:v>4</x:v>
      </x:c>
      <x:c r="H40" s="31" t="str">
        <x:v>gabinetes</x:v>
      </x:c>
      <x:c r="I40" s="31" t="str">
        <x:v>Portería, Planta, Relaves y Acopio de puerto</x:v>
      </x:c>
      <x:c r="J40" s="31" t="str">
        <x:v>IP54 interior / IP65 expuesto; control térmico; UPS local; PDU; sensor; cerradura; tierra; filtro de polvo</x:v>
      </x:c>
      <x:c r="K40" s="31" t="str">
        <x:v>Autonomía &gt;=60 min para cierre seguro y conmutación</x:v>
      </x:c>
      <x:c r="L40" s="31" t="str">
        <x:v>Garantía 5 años</x:v>
      </x:c>
      <x:c r="M40" s="31" t="str">
        <x:v>Filtros y baterías como consumibles</x:v>
      </x:c>
      <x:c r="N40" s="31" t="str">
        <x:v>RT-06 proporcional; RT-08.10 a 08.14</x:v>
      </x:c>
    </x:row>
    <x:row r="41" ht="15" hidden="0" customHeight="1">
      <x:c r="A41" s="40" t="str">
        <x:v>T11-37</x:v>
      </x:c>
      <x:c r="B41" s="31" t="str">
        <x:v>Integración OT</x:v>
      </x:c>
      <x:c r="C41" s="31" t="str">
        <x:v>Gateway OPC UA C-14</x:v>
      </x:c>
      <x:c r="D41" s="31" t="str">
        <x:v>OVERFORE</x:v>
      </x:c>
      <x:c r="E41" s="31" t="str">
        <x:v>PTC Kepware KEPServerEX o equivalente</x:v>
      </x:c>
      <x:c r="F41" s="31" t="str">
        <x:v>Versión soportada vigente</x:v>
      </x:c>
      <x:c r="G41" s="31" t="str">
        <x:v>2</x:v>
      </x:c>
      <x:c r="H41" s="31" t="str">
        <x:v>instancias</x:v>
      </x:c>
      <x:c r="I41" s="31" t="str">
        <x:v>DMZ TI/TO de Planta</x:v>
      </x:c>
      <x:c r="J41" s="31" t="str">
        <x:v>Certificados mutuos; allowlist de nodos; usuario sólo lectura; Write/Call denegados; buffer local</x:v>
      </x:c>
      <x:c r="K41" s="31" t="str">
        <x:v>Primaria y reserva sobre nodos edge distintos</x:v>
      </x:c>
      <x:c r="L41" s="31" t="str">
        <x:v>Soporte de plataforma 24x7</x:v>
      </x:c>
      <x:c r="M41" s="31" t="str">
        <x:v>Prueba anual de actualización</x:v>
      </x:c>
      <x:c r="N41" s="31" t="str">
        <x:v>RT-05.23; IEC 62443; C-14</x:v>
      </x:c>
    </x:row>
    <x:row r="42" ht="21.600000381469727" hidden="0" customHeight="1">
      <x:c r="A42" s="40" t="str">
        <x:v>T11-38</x:v>
      </x:c>
      <x:c r="B42" s="31" t="str">
        <x:v>Terreno</x:v>
      </x:c>
      <x:c r="C42" s="31" t="str">
        <x:v>Tableta rugerizada C-03</x:v>
      </x:c>
      <x:c r="D42" s="31" t="str">
        <x:v>CLIENTE compra / OVERFORE especifica</x:v>
      </x:c>
      <x:c r="E42" s="31" t="str">
        <x:v>Zebra ET85 o Dell Latitude 7030 Rugged Extreme o equivalente</x:v>
      </x:c>
      <x:c r="F42" s="31" t="str">
        <x:v>SO vigente y 2 anteriores</x:v>
      </x:c>
      <x:c r="G42" s="31" t="str">
        <x:v>176</x:v>
      </x:c>
      <x:c r="H42" s="31" t="str">
        <x:v>unidades</x:v>
      </x:c>
      <x:c r="I42" s="31" t="str">
        <x:v>Rajo, Planta, Portería, Relaves, Puerto y supervisión</x:v>
      </x:c>
      <x:c r="J42" s="31" t="str">
        <x:v>IP65; caída &gt;=1,2 m; -6 a 34 °C; sol directo; guantes; NFC; GNSS; LTE/5G/Wi-Fi; TPM/secure element; cifrado; 12 h batería</x:v>
      </x:c>
      <x:c r="K42" s="31" t="str">
        <x:v>160 operación simultánea + 16 stock 10%; datos SQLite cifrados</x:v>
      </x:c>
      <x:c r="L42" s="31" t="str">
        <x:v>5 años; reposición &lt;=24 h</x:v>
      </x:c>
      <x:c r="M42" s="31" t="str">
        <x:v>MDM, base vehicular, correa, stylus, cargador y batería; 1 muestra UAT incluida</x:v>
      </x:c>
      <x:c r="N42" s="31" t="str">
        <x:v>RT-08.10 a 08.15; RT-12.11; RT-13.08</x:v>
      </x:c>
    </x:row>
    <x:row r="43" ht="21.600000381469727" hidden="0" customHeight="1">
      <x:c r="A43" s="40" t="str">
        <x:v>T11-39</x:v>
      </x:c>
      <x:c r="B43" s="31" t="str">
        <x:v>Terreno</x:v>
      </x:c>
      <x:c r="C43" s="31" t="str">
        <x:v>Credencial de proximidad segura</x:v>
      </x:c>
      <x:c r="D43" s="31" t="str">
        <x:v>CLIENTE compra / OVERFORE especifica</x:v>
      </x:c>
      <x:c r="E43" s="31" t="str">
        <x:v>MIFARE DESFire EV3 o equivalente</x:v>
      </x:c>
      <x:c r="F43" s="31" t="str">
        <x:v>N/A</x:v>
      </x:c>
      <x:c r="G43" s="31" t="str">
        <x:v>9900</x:v>
      </x:c>
      <x:c r="H43" s="31" t="str">
        <x:v>credenciales</x:v>
      </x:c>
      <x:c r="I43" s="31" t="str">
        <x:v>Personal propio y contratista</x:v>
      </x:c>
      <x:c r="J43" s="31" t="str">
        <x:v>Criptografía AES; UID no usado como único secreto; personalización; revocación; compatible con torniquete/lector</x:v>
      </x:c>
      <x:c r="K43" s="31" t="str">
        <x:v>9.000 peak a 3 años + 10% reposición</x:v>
      </x:c>
      <x:c r="L43" s="31" t="str">
        <x:v>Garantía fabricante</x:v>
      </x:c>
      <x:c r="M43" s="31" t="str">
        <x:v>Vida útil &gt;=5 años; reposición por pérdida</x:v>
      </x:c>
      <x:c r="N43" s="31" t="str">
        <x:v>RT-12.11; RF-SEG-009</x:v>
      </x:c>
    </x:row>
    <x:row r="44" ht="21.600000381469727" hidden="0" customHeight="1">
      <x:c r="A44" s="40" t="str">
        <x:v>T11-40</x:v>
      </x:c>
      <x:c r="B44" s="31" t="str">
        <x:v>Terreno</x:v>
      </x:c>
      <x:c r="C44" s="31" t="str">
        <x:v>Lector fijo RFID/código</x:v>
      </x:c>
      <x:c r="D44" s="31" t="str">
        <x:v>CLIENTE compra / OVERFORE especifica</x:v>
      </x:c>
      <x:c r="E44" s="31" t="str">
        <x:v>Zebra FX9600/DS3608 o equivalente</x:v>
      </x:c>
      <x:c r="F44" s="31" t="str">
        <x:v>Firmware soportado</x:v>
      </x:c>
      <x:c r="G44" s="31" t="str">
        <x:v>10</x:v>
      </x:c>
      <x:c r="H44" s="31" t="str">
        <x:v>unidades</x:v>
      </x:c>
      <x:c r="I44" s="31" t="str">
        <x:v>Portería, básculas, Planta/stock y Puerto</x:v>
      </x:c>
      <x:c r="J44" s="31" t="str">
        <x:v>UHF EPC Gen2 y/o código 1D/2D según punto; IP industrial; Ethernet/PoE; SDK abierto; lista local</x:v>
      </x:c>
      <x:c r="K44" s="31" t="str">
        <x:v>8 operativos + 2 repuestos</x:v>
      </x:c>
      <x:c r="L44" s="31" t="str">
        <x:v>5 años; reposición &lt;=24 h</x:v>
      </x:c>
      <x:c r="M44" s="31" t="str">
        <x:v>Antenas, cables, fuentes y soportes incluidos</x:v>
      </x:c>
      <x:c r="N44" s="31" t="str">
        <x:v>RT-08.10; RT-17.06</x:v>
      </x:c>
    </x:row>
    <x:row r="45" ht="21.600000381469727" hidden="0" customHeight="1">
      <x:c r="A45" s="40" t="str">
        <x:v>T11-41</x:v>
      </x:c>
      <x:c r="B45" s="31" t="str">
        <x:v>Terreno</x:v>
      </x:c>
      <x:c r="C45" s="31" t="str">
        <x:v>Etiqueta RFID para equipos/camiones</x:v>
      </x:c>
      <x:c r="D45" s="31" t="str">
        <x:v>CLIENTE compra / OVERFORE especifica</x:v>
      </x:c>
      <x:c r="E45" s="31" t="str">
        <x:v>Tag UHF industrial on-metal o equivalente</x:v>
      </x:c>
      <x:c r="F45" s="31" t="str">
        <x:v>N/A</x:v>
      </x:c>
      <x:c r="G45" s="31" t="str">
        <x:v>77</x:v>
      </x:c>
      <x:c r="H45" s="31" t="str">
        <x:v>etiquetas</x:v>
      </x:c>
      <x:c r="I45" s="31" t="str">
        <x:v>Flota con telemetría/identificación</x:v>
      </x:c>
      <x:c r="J45" s="31" t="str">
        <x:v>EPC Gen2; memoria protegida; fijación industrial; resistencia UV/polvo/vibración</x:v>
      </x:c>
      <x:c r="K45" s="31" t="str">
        <x:v>70 equipos a 3 años + 10% stock</x:v>
      </x:c>
      <x:c r="L45" s="31" t="str">
        <x:v>Garantía fabricante</x:v>
      </x:c>
      <x:c r="M45" s="31" t="str">
        <x:v>Reemplazo por daño/pérdida</x:v>
      </x:c>
      <x:c r="N45" s="31" t="str">
        <x:v>RT-17.06; volumetría caso</x:v>
      </x:c>
    </x:row>
    <x:row r="46" ht="21.600000381469727" hidden="0" customHeight="1">
      <x:c r="A46" s="40" t="str">
        <x:v>T11-42</x:v>
      </x:c>
      <x:c r="B46" s="31" t="str">
        <x:v>Terreno</x:v>
      </x:c>
      <x:c r="C46" s="31" t="str">
        <x:v>Gateway de interfaz de báscula</x:v>
      </x:c>
      <x:c r="D46" s="31" t="str">
        <x:v>CLIENTE compra / OVERFORE especifica</x:v>
      </x:c>
      <x:c r="E46" s="31" t="str">
        <x:v>Moxa UC-8200 o equivalente</x:v>
      </x:c>
      <x:c r="F46" s="31" t="str">
        <x:v>Firmware soportado</x:v>
      </x:c>
      <x:c r="G46" s="31" t="str">
        <x:v>3</x:v>
      </x:c>
      <x:c r="H46" s="31" t="str">
        <x:v>unidades</x:v>
      </x:c>
      <x:c r="I46" s="31" t="str">
        <x:v>Báscula salida descarga y báscula puerto + 1 repuesto</x:v>
      </x:c>
      <x:c r="J46" s="31" t="str">
        <x:v>RS-232/485/Ethernet; store-and-forward; sello temporal; VPN/certificado; temperatura extendida</x:v>
      </x:c>
      <x:c r="K46" s="31" t="str">
        <x:v>2 operativos + 1 repuesto</x:v>
      </x:c>
      <x:c r="L46" s="31" t="str">
        <x:v>5 años; soporte Chile</x:v>
      </x:c>
      <x:c r="M46" s="31" t="str">
        <x:v>No reemplaza la báscula; desacopla el software local</x:v>
      </x:c>
      <x:c r="N46" s="31" t="str">
        <x:v>Cap. 5 caso; C-04; RF-TRA-020</x:v>
      </x:c>
    </x:row>
    <x:row r="47" ht="15" hidden="0" customHeight="1">
      <x:c r="A47" s="40" t="str">
        <x:v>T11-43</x:v>
      </x:c>
      <x:c r="B47" s="31" t="str">
        <x:v>Existente</x:v>
      </x:c>
      <x:c r="C47" s="31" t="str">
        <x:v>Báscula de camiones</x:v>
      </x:c>
      <x:c r="D47" s="31" t="str">
        <x:v>CLIENTE mantiene</x:v>
      </x:c>
      <x:c r="E47" s="31" t="str">
        <x:v>Equipamiento existente</x:v>
      </x:c>
      <x:c r="F47" s="31" t="str">
        <x:v>Versión a levantar</x:v>
      </x:c>
      <x:c r="G47" s="31" t="str">
        <x:v>2</x:v>
      </x:c>
      <x:c r="H47" s="31" t="str">
        <x:v>sistemas</x:v>
      </x:c>
      <x:c r="I47" s="31" t="str">
        <x:v>Salida del área de descarga y despacho a puerto</x:v>
      </x:c>
      <x:c r="J47" s="31" t="str">
        <x:v>Se conserva; interfaz digital documentada; calibración metrológica vigente; lectura &lt;=3 s</x:v>
      </x:c>
      <x:c r="K47" s="31" t="str">
        <x:v>No se altera el instrumento</x:v>
      </x:c>
      <x:c r="L47" s="31" t="str">
        <x:v>Contrato/mantención del CLIENTE</x:v>
      </x:c>
      <x:c r="M47" s="31" t="str">
        <x:v>Software local sólo se reemplaza si se justifica</x:v>
      </x:c>
      <x:c r="N47" s="31" t="str">
        <x:v>Cap. 5 caso; RT-09.01</x:v>
      </x:c>
    </x:row>
    <x:row r="48" ht="15" hidden="0" customHeight="1">
      <x:c r="A48" s="40" t="str">
        <x:v>T11-44</x:v>
      </x:c>
      <x:c r="B48" s="31" t="str">
        <x:v>Existente</x:v>
      </x:c>
      <x:c r="C48" s="31" t="str">
        <x:v>Pesaje de a bordo</x:v>
      </x:c>
      <x:c r="D48" s="31" t="str">
        <x:v>CLIENTE mantiene</x:v>
      </x:c>
      <x:c r="E48" s="31" t="str">
        <x:v>Sistema de despacho de flota existente</x:v>
      </x:c>
      <x:c r="F48" s="31" t="str">
        <x:v>Versión a levantar</x:v>
      </x:c>
      <x:c r="G48" s="31" t="str">
        <x:v>38</x:v>
      </x:c>
      <x:c r="H48" s="31" t="str">
        <x:v>camiones</x:v>
      </x:c>
      <x:c r="I48" s="31" t="str">
        <x:v>Rajo Aranda</x:v>
      </x:c>
      <x:c r="J48" s="31" t="str">
        <x:v>Se consume desde C-10; no se modifica el sistema de despacho; conserva dato original</x:v>
      </x:c>
      <x:c r="K48" s="31" t="str">
        <x:v>Integración asíncrona y reintentos</x:v>
      </x:c>
      <x:c r="L48" s="31" t="str">
        <x:v>Contrato del CLIENTE hasta 2031</x:v>
      </x:c>
      <x:c r="M48" s="31" t="str">
        <x:v>Fuente independiente para conciliación</x:v>
      </x:c>
      <x:c r="N48" s="31" t="str">
        <x:v>Cap. 4.3 y 5 caso</x:v>
      </x:c>
    </x:row>
    <x:row r="49" ht="15" hidden="0" customHeight="1">
      <x:c r="A49" s="40" t="str">
        <x:v>T11-45</x:v>
      </x:c>
      <x:c r="B49" s="31" t="str">
        <x:v>Existente</x:v>
      </x:c>
      <x:c r="C49" s="31" t="str">
        <x:v>Balanza de alimentación de planta</x:v>
      </x:c>
      <x:c r="D49" s="31" t="str">
        <x:v>CLIENTE mantiene</x:v>
      </x:c>
      <x:c r="E49" s="31" t="str">
        <x:v>Instrumentación/historiador existente</x:v>
      </x:c>
      <x:c r="F49" s="31" t="str">
        <x:v>Versión a levantar</x:v>
      </x:c>
      <x:c r="G49" s="31" t="str">
        <x:v>1</x:v>
      </x:c>
      <x:c r="H49" s="31" t="str">
        <x:v>señal lógica</x:v>
      </x:c>
      <x:c r="I49" s="31" t="str">
        <x:v>Planta concentradora</x:v>
      </x:c>
      <x:c r="J49" s="31" t="str">
        <x:v>Se lee únicamente desde historiador por C-14 OPC UA; sin acceso directo a PLC/DCS</x:v>
      </x:c>
      <x:c r="K49" s="31" t="str">
        <x:v>Gateway primario/reserva</x:v>
      </x:c>
      <x:c r="L49" s="31" t="str">
        <x:v>Mantención del CLIENTE</x:v>
      </x:c>
      <x:c r="M49" s="31" t="str">
        <x:v>Tercera fuente de tonelaje; no sobrescribe las otras</x:v>
      </x:c>
      <x:c r="N49" s="31" t="str">
        <x:v>Cap. 4.5; C-14</x:v>
      </x:c>
    </x:row>
    <x:row r="50" ht="21.600000381469727" hidden="0" customHeight="1">
      <x:c r="A50" s="40" t="str">
        <x:v>T11-46</x:v>
      </x:c>
      <x:c r="B50" s="31" t="str">
        <x:v>Terreno</x:v>
      </x:c>
      <x:c r="C50" s="31" t="str">
        <x:v>Lector portátil de muestras</x:v>
      </x:c>
      <x:c r="D50" s="31" t="str">
        <x:v>CLIENTE compra / OVERFORE especifica</x:v>
      </x:c>
      <x:c r="E50" s="31" t="str">
        <x:v>Zebra DS3608/TC58e o equivalente</x:v>
      </x:c>
      <x:c r="F50" s="31" t="str">
        <x:v>Firmware soportado</x:v>
      </x:c>
      <x:c r="G50" s="31" t="str">
        <x:v>24</x:v>
      </x:c>
      <x:c r="H50" s="31" t="str">
        <x:v>unidades</x:v>
      </x:c>
      <x:c r="I50" s="31" t="str">
        <x:v>Planta, laboratorio, concentrado y puerto</x:v>
      </x:c>
      <x:c r="J50" s="31" t="str">
        <x:v>Código 1D/2D; IP65/67; caída industrial; operación con guantes; conexión cifrada</x:v>
      </x:c>
      <x:c r="K50" s="31" t="str">
        <x:v>20 operativos + 4 repuestos</x:v>
      </x:c>
      <x:c r="L50" s="31" t="str">
        <x:v>5 años</x:v>
      </x:c>
      <x:c r="M50" s="31" t="str">
        <x:v>Bases/cargadores, funda y baterías incluidos</x:v>
      </x:c>
      <x:c r="N50" s="31" t="str">
        <x:v>RT-08.10; cadena de custodia muestras</x:v>
      </x:c>
    </x:row>
    <x:row r="51" ht="21.600000381469727" hidden="0" customHeight="1">
      <x:c r="A51" s="40" t="str">
        <x:v>T11-47</x:v>
      </x:c>
      <x:c r="B51" s="31" t="str">
        <x:v>Terreno</x:v>
      </x:c>
      <x:c r="C51" s="31" t="str">
        <x:v>Impresora industrial de etiquetas de muestra</x:v>
      </x:c>
      <x:c r="D51" s="31" t="str">
        <x:v>CLIENTE compra / OVERFORE especifica</x:v>
      </x:c>
      <x:c r="E51" s="31" t="str">
        <x:v>Zebra ZT411 o equivalente</x:v>
      </x:c>
      <x:c r="F51" s="31" t="str">
        <x:v>Firmware soportado</x:v>
      </x:c>
      <x:c r="G51" s="31" t="str">
        <x:v>10</x:v>
      </x:c>
      <x:c r="H51" s="31" t="str">
        <x:v>unidades</x:v>
      </x:c>
      <x:c r="I51" s="31" t="str">
        <x:v>Planta, laboratorio y puerto</x:v>
      </x:c>
      <x:c r="J51" s="31" t="str">
        <x:v>Transferencia térmica; 300 dpi; Ethernet; etiquetas resistentes a humedad/químicos; SDK abierto</x:v>
      </x:c>
      <x:c r="K51" s="31" t="str">
        <x:v>8 operativas + 2 repuestos</x:v>
      </x:c>
      <x:c r="L51" s="31" t="str">
        <x:v>5 años</x:v>
      </x:c>
      <x:c r="M51" s="31" t="str">
        <x:v>Ribbon y etiquetas para 78.000 muestras/año + 15% merma</x:v>
      </x:c>
      <x:c r="N51" s="31" t="str">
        <x:v>RT-08.10; volumetría caso</x:v>
      </x:c>
    </x:row>
    <x:row r="52" ht="21.600000381469727" hidden="0" customHeight="1">
      <x:c r="A52" s="40" t="str">
        <x:v>T11-48</x:v>
      </x:c>
      <x:c r="B52" s="31" t="str">
        <x:v>Terreno</x:v>
      </x:c>
      <x:c r="C52" s="31" t="str">
        <x:v>Ampliación de instrumentación ambiental/geotécnica</x:v>
      </x:c>
      <x:c r="D52" s="31" t="str">
        <x:v>CLIENTE compra / OVERFORE especifica</x:v>
      </x:c>
      <x:c r="E52" s="31" t="str">
        <x:v>Sensores compatibles con plataforma existente</x:v>
      </x:c>
      <x:c r="F52" s="31" t="str">
        <x:v>Versión a levantar</x:v>
      </x:c>
      <x:c r="G52" s="31" t="str">
        <x:v>49</x:v>
      </x:c>
      <x:c r="H52" s="31" t="str">
        <x:v>instrumentos</x:v>
      </x:c>
      <x:c r="I52" s="31" t="str">
        <x:v>Depósito de relaves y puntos ambientales</x:v>
      </x:c>
      <x:c r="J52" s="31" t="str">
        <x:v>Compatibilidad con radio/protocolo existente; sello temporal; calibración; IP65/67; registro local</x:v>
      </x:c>
      <x:c r="K52" s="31" t="str">
        <x:v>44 expansión a 230 + 5 repuestos/calibración</x:v>
      </x:c>
      <x:c r="L52" s="31" t="str">
        <x:v>Garantía 3-5 años</x:v>
      </x:c>
      <x:c r="M52" s="31" t="str">
        <x:v>Calibración y consumibles según fabricante</x:v>
      </x:c>
      <x:c r="N52" s="31" t="str">
        <x:v>Volumetría caso: 186 a 230; RT-17.06</x:v>
      </x:c>
    </x:row>
    <x:row r="53" ht="15" hidden="0" customHeight="1">
      <x:c r="A53" s="40" t="str">
        <x:v>T11-49</x:v>
      </x:c>
      <x:c r="B53" s="31" t="str">
        <x:v>Conectividad edge</x:v>
      </x:c>
      <x:c r="C53" s="31" t="str">
        <x:v>Servicio de respaldo celular empresarial</x:v>
      </x:c>
      <x:c r="D53" s="31" t="str">
        <x:v>OVERFORE</x:v>
      </x:c>
      <x:c r="E53" s="31" t="str">
        <x:v>4G/5G multioperador o equivalente</x:v>
      </x:c>
      <x:c r="F53" s="31" t="str">
        <x:v>N/A</x:v>
      </x:c>
      <x:c r="G53" s="31" t="str">
        <x:v>4</x:v>
      </x:c>
      <x:c r="H53" s="31" t="str">
        <x:v>servicios</x:v>
      </x:c>
      <x:c r="I53" s="31" t="str">
        <x:v>Portería, Planta, Relaves y Puerto</x:v>
      </x:c>
      <x:c r="J53" s="31" t="str">
        <x:v>APN privado o VPN; IPsec; &gt;=10 Mbps objetivo; antena externa; monitoreo y cuota declarada</x:v>
      </x:c>
      <x:c r="K53" s="31" t="str">
        <x:v>Independiente del enlace principal de cada sitio</x:v>
      </x:c>
      <x:c r="L53" s="31" t="str">
        <x:v>Soporte 24x7</x:v>
      </x:c>
      <x:c r="M53" s="31" t="str">
        <x:v>Validar cobertura y altura en estudio RF</x:v>
      </x:c>
      <x:c r="N53" s="31" t="str">
        <x:v>RT-03.17; RT-03.20; RT-03.24</x:v>
      </x:c>
    </x:row>
    <x:row r="54" ht="21.600000381469727" hidden="0" customHeight="1">
      <x:c r="A54" s="41" t="str">
        <x:v>T11-50</x:v>
      </x:c>
      <x:c r="B54" s="32" t="str">
        <x:v>Estudio</x:v>
      </x:c>
      <x:c r="C54" s="32" t="str">
        <x:v>Estudio RF y plan de cobertura</x:v>
      </x:c>
      <x:c r="D54" s="32" t="str">
        <x:v>OVERFORE</x:v>
      </x:c>
      <x:c r="E54" s="32" t="str">
        <x:v>Servicio de ingeniería RF</x:v>
      </x:c>
      <x:c r="F54" s="32" t="str">
        <x:v>N/A</x:v>
      </x:c>
      <x:c r="G54" s="32" t="str">
        <x:v>1</x:v>
      </x:c>
      <x:c r="H54" s="32" t="str">
        <x:v>estudio + actualizaciones</x:v>
      </x:c>
      <x:c r="I54" s="32" t="str">
        <x:v>Rajo y sitios operacionales</x:v>
      </x:c>
      <x:c r="J54" s="32" t="str">
        <x:v>Mapa de calor; sombras; mediciones a 3.180 m; avance del rajo a 3 años; capacidad y plan de repetidores/small cells</x:v>
      </x:c>
      <x:c r="K54" s="32" t="str">
        <x:v>Revisión trimestral o ante cambio relevante</x:v>
      </x:c>
      <x:c r="L54" s="32" t="str">
        <x:v>Ingeniería y soporte</x:v>
      </x:c>
      <x:c r="M54" s="32" t="str">
        <x:v>La construcción de red de rajo queda a cargo del CLIENTE</x:v>
      </x:c>
      <x:c r="N54" s="32" t="str">
        <x:v>RT-03.24; exclusión Cap. 11 caso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63800af36d5b4c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55" hidden="0" customWidth="1"/>
    <x:col min="5" max="5" width="32" hidden="0" customWidth="1"/>
  </x:cols>
  <x:sheetData>
    <x:row r="1" ht="21.600000381469727" hidden="0" customHeight="1">
      <x:c r="A1" s="44" t="str">
        <x:v>DIMENSIONAMIENTO TRAZABLE</x:v>
      </x:c>
      <x:c r="B1" s="44" t="str">
        <x:v>DIMENSIONAMIENTO TRAZABLE</x:v>
      </x:c>
      <x:c r="C1" s="44" t="str">
        <x:v>DIMENSIONAMIENTO TRAZABLE</x:v>
      </x:c>
      <x:c r="D1" s="44" t="str">
        <x:v>DIMENSIONAMIENTO TRAZABLE</x:v>
      </x:c>
      <x:c r="E1" s="44" t="str">
        <x:v>DIMENSIONAMIENTO TRAZABLE</x:v>
      </x:c>
    </x:row>
    <x:row r="2" ht="15" hidden="0" customHeight="1">
      <x:c r="A2" s="7" t="str">
        <x:v>Supuestos y fórmulas que sustentan cantidades, almacenamiento, enlaces y autonomía de borde</x:v>
      </x:c>
      <x:c r="B2" s="7" t="str">
        <x:v>Supuestos y fórmulas que sustentan cantidades, almacenamiento, enlaces y autonomía de borde</x:v>
      </x:c>
      <x:c r="C2" s="7" t="str">
        <x:v>Supuestos y fórmulas que sustentan cantidades, almacenamiento, enlaces y autonomía de borde</x:v>
      </x:c>
      <x:c r="D2" s="7" t="str">
        <x:v>Supuestos y fórmulas que sustentan cantidades, almacenamiento, enlaces y autonomía de borde</x:v>
      </x:c>
      <x:c r="E2" s="7" t="str">
        <x:v>Supuestos y fórmulas que sustentan cantidades, almacenamiento, enlaces y autonomía de borde</x:v>
      </x:c>
    </x:row>
    <x:row r="3" ht="15" hidden="0" customHeight="1">
      <x:c r="A3" s="45"/>
      <x:c r="B3" s="45"/>
      <x:c r="C3" s="45"/>
      <x:c r="D3" s="45"/>
      <x:c r="E3" s="45"/>
    </x:row>
    <x:row r="4" ht="15" hidden="0" customHeight="1">
      <x:c r="A4" s="22" t="str">
        <x:v>Variable</x:v>
      </x:c>
      <x:c r="B4" s="22" t="str">
        <x:v>Valor base</x:v>
      </x:c>
      <x:c r="C4" s="22" t="str">
        <x:v>Unidad</x:v>
      </x:c>
      <x:c r="D4" s="22" t="str">
        <x:v>Fórmula / derivación</x:v>
      </x:c>
      <x:c r="E4" s="22" t="str">
        <x:v>Decisión T-11</x:v>
      </x:c>
    </x:row>
    <x:row r="5" ht="15" hidden="0" customHeight="1">
      <x:c r="A5" s="30" t="str">
        <x:v>Datos históricos</x:v>
      </x:c>
      <x:c r="B5" s="30" t="n">
        <x:v>6</x:v>
      </x:c>
      <x:c r="C5" s="30" t="str">
        <x:v>TB</x:v>
      </x:c>
      <x:c r="D5" s="30" t="str">
        <x:v>Dato de Bases del caso</x:v>
      </x:c>
      <x:c r="E5" s="30" t="str">
        <x:v>Incluido en capacidad central</x:v>
      </x:c>
    </x:row>
    <x:row r="6" ht="15" hidden="0" customHeight="1">
      <x:c r="A6" s="31" t="str">
        <x:v>Datos nuevos anuales</x:v>
      </x:c>
      <x:c r="B6" s="31" t="n">
        <x:v>3</x:v>
      </x:c>
      <x:c r="C6" s="31" t="str">
        <x:v>TB/año</x:v>
      </x:c>
      <x:c r="D6" s="31" t="str">
        <x:v>0,5 transaccional + 2 series + 0,5 documental</x:v>
      </x:c>
      <x:c r="E6" s="31" t="str">
        <x:v>Crecimiento cloud/archivo</x:v>
      </x:c>
    </x:row>
    <x:row r="7" ht="15" hidden="0" customHeight="1">
      <x:c r="A7" s="31" t="str">
        <x:v>Horizonte inicial</x:v>
      </x:c>
      <x:c r="B7" s="31" t="n">
        <x:v>3</x:v>
      </x:c>
      <x:c r="C7" s="31" t="str">
        <x:v>años</x:v>
      </x:c>
      <x:c r="D7" s="31" t="str">
        <x:v>Bases del caso</x:v>
      </x:c>
      <x:c r="E7" s="31" t="str">
        <x:v>Proyección de capacidad</x:v>
      </x:c>
    </x:row>
    <x:row r="8" ht="15" hidden="0" customHeight="1">
      <x:c r="A8" s="31" t="str">
        <x:v>Volumen lógico a 3 años</x:v>
      </x:c>
      <x:c r="B8" s="31" t="n">
        <x:f>'Dimensionamiento'!B5+'Dimensionamiento'!B6*'Dimensionamiento'!B7</x:f>
        <x:v>15</x:v>
      </x:c>
      <x:c r="C8" s="31" t="str">
        <x:v>TB</x:v>
      </x:c>
      <x:c r="D8" s="31" t="str">
        <x:v>B5 + B6 x B7</x:v>
      </x:c>
      <x:c r="E8" s="31" t="str">
        <x:v>15 TB</x:v>
      </x:c>
    </x:row>
    <x:row r="9" ht="15" hidden="0" customHeight="1">
      <x:c r="A9" s="31" t="str">
        <x:v>Factor crecimiento sin rediseño</x:v>
      </x:c>
      <x:c r="B9" s="31" t="n">
        <x:v>3</x:v>
      </x:c>
      <x:c r="C9" s="31" t="str">
        <x:v>x</x:v>
      </x:c>
      <x:c r="D9" s="31" t="str">
        <x:v>RNF-CAP-014 / RT-09.03</x:v>
      </x:c>
      <x:c r="E9" s="31" t="str">
        <x:v>Escalamiento horizontal</x:v>
      </x:c>
    </x:row>
    <x:row r="10" ht="15" hidden="0" customHeight="1">
      <x:c r="A10" s="31" t="str">
        <x:v>Holgura índices/temporales</x:v>
      </x:c>
      <x:c r="B10" s="43" t="n">
        <x:v>0.3</x:v>
      </x:c>
      <x:c r="C10" s="31" t="str"/>
      <x:c r="D10" s="31" t="str">
        <x:v>Supuesto de ingeniería</x:v>
      </x:c>
      <x:c r="E10" s="31" t="str">
        <x:v>30% adicional</x:v>
      </x:c>
    </x:row>
    <x:row r="11" ht="15" hidden="0" customHeight="1">
      <x:c r="A11" s="31" t="str">
        <x:v>Capacidad central objetivo</x:v>
      </x:c>
      <x:c r="B11" s="31" t="n">
        <x:f>'Dimensionamiento'!B8*'Dimensionamiento'!B9*(1+'Dimensionamiento'!B10)</x:f>
        <x:v>58.5</x:v>
      </x:c>
      <x:c r="C11" s="31" t="str">
        <x:v>TB</x:v>
      </x:c>
      <x:c r="D11" s="31" t="str">
        <x:v>B8 x B9 x (1 + B10)</x:v>
      </x:c>
      <x:c r="E11" s="31" t="str">
        <x:v>58,5 TB; nube + archivo</x:v>
      </x:c>
    </x:row>
    <x:row r="12" ht="15" hidden="0" customHeight="1">
      <x:c r="A12" s="31" t="str">
        <x:v>Tráfico normal Faena</x:v>
      </x:c>
      <x:c r="B12" s="31" t="n">
        <x:v>20</x:v>
      </x:c>
      <x:c r="C12" s="31" t="str">
        <x:v>Mbps</x:v>
      </x:c>
      <x:c r="D12" s="31" t="str">
        <x:v>Subdoc. 5 v2.1</x:v>
      </x:c>
      <x:c r="E12" s="31" t="str">
        <x:v>Enlaces 100 Mbps</x:v>
      </x:c>
    </x:row>
    <x:row r="13" ht="15" hidden="0" customHeight="1">
      <x:c r="A13" s="31" t="str">
        <x:v>Tráfico peak Faena</x:v>
      </x:c>
      <x:c r="B13" s="31" t="n">
        <x:v>50</x:v>
      </x:c>
      <x:c r="C13" s="31" t="str">
        <x:v>Mbps</x:v>
      </x:c>
      <x:c r="D13" s="31" t="str">
        <x:v>Subdoc. 5 v2.1</x:v>
      </x:c>
      <x:c r="E13" s="31" t="str">
        <x:v>50% uso por enlace</x:v>
      </x:c>
    </x:row>
    <x:row r="14" ht="15" hidden="0" customHeight="1">
      <x:c r="A14" s="31" t="str">
        <x:v>Capacidad por carrier</x:v>
      </x:c>
      <x:c r="B14" s="31" t="n">
        <x:v>100</x:v>
      </x:c>
      <x:c r="C14" s="31" t="str">
        <x:v>Mbps</x:v>
      </x:c>
      <x:c r="D14" s="31" t="str">
        <x:v>2 x peak para replicación y contingencia</x:v>
      </x:c>
      <x:c r="E14" s="31" t="str">
        <x:v>Carrier A y B</x:v>
      </x:c>
    </x:row>
    <x:row r="15" ht="15" hidden="0" customHeight="1">
      <x:c r="A15" s="31" t="str">
        <x:v>Utilización peak de un carrier</x:v>
      </x:c>
      <x:c r="B15" s="43" t="n">
        <x:f>'Dimensionamiento'!B13/'Dimensionamiento'!B14</x:f>
        <x:v>0.5</x:v>
      </x:c>
      <x:c r="C15" s="31" t="str"/>
      <x:c r="D15" s="31" t="str">
        <x:v>B13 / B14</x:v>
      </x:c>
      <x:c r="E15" s="31" t="str">
        <x:v>&lt;=50%</x:v>
      </x:c>
    </x:row>
    <x:row r="16" ht="15" hidden="0" customHeight="1">
      <x:c r="A16" s="31" t="str">
        <x:v>Datos en 20 h de corte</x:v>
      </x:c>
      <x:c r="B16" s="31" t="n">
        <x:v>1.5</x:v>
      </x:c>
      <x:c r="C16" s="31" t="str">
        <x:v>GB</x:v>
      </x:c>
      <x:c r="D16" s="31" t="str">
        <x:v>Supuesto vigente del equipo</x:v>
      </x:c>
      <x:c r="E16" s="31" t="str">
        <x:v>Base para 48 h</x:v>
      </x:c>
    </x:row>
    <x:row r="17" ht="15" hidden="0" customHeight="1">
      <x:c r="A17" s="31" t="str">
        <x:v>Autonomía exigida</x:v>
      </x:c>
      <x:c r="B17" s="31" t="n">
        <x:v>48</x:v>
      </x:c>
      <x:c r="C17" s="31" t="str">
        <x:v>h</x:v>
      </x:c>
      <x:c r="D17" s="31" t="str">
        <x:v>RT-03.10 Caso 01</x:v>
      </x:c>
      <x:c r="E17" s="31" t="str">
        <x:v>C03/C04</x:v>
      </x:c>
    </x:row>
    <x:row r="18" ht="15" hidden="0" customHeight="1">
      <x:c r="A18" s="31" t="str">
        <x:v>Datos estimados en 48 h</x:v>
      </x:c>
      <x:c r="B18" s="31" t="n">
        <x:f>'Dimensionamiento'!B16/20*'Dimensionamiento'!B17</x:f>
        <x:v>3.5999999999999996</x:v>
      </x:c>
      <x:c r="C18" s="31" t="str">
        <x:v>GB</x:v>
      </x:c>
      <x:c r="D18" s="31" t="str">
        <x:v>B16 / 20 h x B17</x:v>
      </x:c>
      <x:c r="E18" s="31" t="str">
        <x:v>3,6 GB</x:v>
      </x:c>
    </x:row>
    <x:row r="19" ht="15" hidden="0" customHeight="1">
      <x:c r="A19" s="31" t="str">
        <x:v>Holgura offline</x:v>
      </x:c>
      <x:c r="B19" s="43" t="n">
        <x:v>0.3</x:v>
      </x:c>
      <x:c r="C19" s="31" t="str"/>
      <x:c r="D19" s="31" t="str">
        <x:v>Supuesto de ingeniería</x:v>
      </x:c>
      <x:c r="E19" s="31" t="str">
        <x:v>30%</x:v>
      </x:c>
    </x:row>
    <x:row r="20" ht="15" hidden="0" customHeight="1">
      <x:c r="A20" s="31" t="str">
        <x:v>Capacidad mínima efectiva offline</x:v>
      </x:c>
      <x:c r="B20" s="31" t="n">
        <x:f>'Dimensionamiento'!B18*(1+'Dimensionamiento'!B19)</x:f>
        <x:v>4.68</x:v>
      </x:c>
      <x:c r="C20" s="31" t="str">
        <x:v>GB</x:v>
      </x:c>
      <x:c r="D20" s="31" t="str">
        <x:v>B18 x (1 + B19)</x:v>
      </x:c>
      <x:c r="E20" s="31" t="str">
        <x:v>4,68 GB</x:v>
      </x:c>
    </x:row>
    <x:row r="21" ht="15" hidden="0" customHeight="1">
      <x:c r="A21" s="31" t="str">
        <x:v>Camiones extracción</x:v>
      </x:c>
      <x:c r="B21" s="31" t="n">
        <x:v>38</x:v>
      </x:c>
      <x:c r="C21" s="31" t="str">
        <x:v>equipos</x:v>
      </x:c>
      <x:c r="D21" s="31" t="str">
        <x:v>Bases del caso</x:v>
      </x:c>
      <x:c r="E21" s="31" t="str">
        <x:v>Captura/integración</x:v>
      </x:c>
    </x:row>
    <x:row r="22" ht="15" hidden="0" customHeight="1">
      <x:c r="A22" s="31" t="str">
        <x:v>Palas</x:v>
      </x:c>
      <x:c r="B22" s="31" t="n">
        <x:v>5</x:v>
      </x:c>
      <x:c r="C22" s="31" t="str">
        <x:v>equipos</x:v>
      </x:c>
      <x:c r="D22" s="31" t="str">
        <x:v>Bases del caso</x:v>
      </x:c>
      <x:c r="E22" s="31" t="str">
        <x:v>Captura/integración</x:v>
      </x:c>
    </x:row>
    <x:row r="23" ht="15" hidden="0" customHeight="1">
      <x:c r="A23" s="31" t="str">
        <x:v>Cargadores</x:v>
      </x:c>
      <x:c r="B23" s="31" t="n">
        <x:v>3</x:v>
      </x:c>
      <x:c r="C23" s="31" t="str">
        <x:v>equipos</x:v>
      </x:c>
      <x:c r="D23" s="31" t="str">
        <x:v>Bases del caso</x:v>
      </x:c>
      <x:c r="E23" s="31" t="str">
        <x:v>Captura/integración</x:v>
      </x:c>
    </x:row>
    <x:row r="24" ht="15" hidden="0" customHeight="1">
      <x:c r="A24" s="31" t="str">
        <x:v>Perforadoras</x:v>
      </x:c>
      <x:c r="B24" s="31" t="n">
        <x:v>9</x:v>
      </x:c>
      <x:c r="C24" s="31" t="str">
        <x:v>equipos</x:v>
      </x:c>
      <x:c r="D24" s="31" t="str">
        <x:v>Bases del caso</x:v>
      </x:c>
      <x:c r="E24" s="31" t="str">
        <x:v>Captura/integración</x:v>
      </x:c>
    </x:row>
    <x:row r="25" ht="15" hidden="0" customHeight="1">
      <x:c r="A25" s="31" t="str">
        <x:v>Dispositivos seguridad/inspección</x:v>
      </x:c>
      <x:c r="B25" s="31" t="n">
        <x:v>40</x:v>
      </x:c>
      <x:c r="C25" s="31" t="str">
        <x:v>dispositivos</x:v>
      </x:c>
      <x:c r="D25" s="31" t="str">
        <x:v>20 roles simultáneos x 2 turnos</x:v>
      </x:c>
      <x:c r="E25" s="31" t="str">
        <x:v>C03</x:v>
      </x:c>
    </x:row>
    <x:row r="26" ht="15" hidden="0" customHeight="1">
      <x:c r="A26" s="31" t="str">
        <x:v>Dispositivos planta/muestreo</x:v>
      </x:c>
      <x:c r="B26" s="31" t="n">
        <x:v>20</x:v>
      </x:c>
      <x:c r="C26" s="31" t="str">
        <x:v>dispositivos</x:v>
      </x:c>
      <x:c r="D26" s="31" t="str">
        <x:v>Puntos compartidos</x:v>
      </x:c>
      <x:c r="E26" s="31" t="str">
        <x:v>C03</x:v>
      </x:c>
    </x:row>
    <x:row r="27" ht="15" hidden="0" customHeight="1">
      <x:c r="A27" s="31" t="str">
        <x:v>Dispositivos relaves/ambiental</x:v>
      </x:c>
      <x:c r="B27" s="31" t="n">
        <x:v>10</x:v>
      </x:c>
      <x:c r="C27" s="31" t="str">
        <x:v>dispositivos</x:v>
      </x:c>
      <x:c r="D27" s="31" t="str">
        <x:v>Puntos compartidos</x:v>
      </x:c>
      <x:c r="E27" s="31" t="str">
        <x:v>C03</x:v>
      </x:c>
    </x:row>
    <x:row r="28" ht="15" hidden="0" customHeight="1">
      <x:c r="A28" s="31" t="str">
        <x:v>Dispositivos puerto/logística</x:v>
      </x:c>
      <x:c r="B28" s="31" t="n">
        <x:v>10</x:v>
      </x:c>
      <x:c r="C28" s="31" t="str">
        <x:v>dispositivos</x:v>
      </x:c>
      <x:c r="D28" s="31" t="str">
        <x:v>Puntos compartidos</x:v>
      </x:c>
      <x:c r="E28" s="31" t="str">
        <x:v>C03</x:v>
      </x:c>
    </x:row>
    <x:row r="29" ht="15" hidden="0" customHeight="1">
      <x:c r="A29" s="31" t="str">
        <x:v>Dispositivos supervisión/mantención</x:v>
      </x:c>
      <x:c r="B29" s="31" t="n">
        <x:v>15</x:v>
      </x:c>
      <x:c r="C29" s="31" t="str">
        <x:v>dispositivos</x:v>
      </x:c>
      <x:c r="D29" s="31" t="str">
        <x:v>Roles simultáneos</x:v>
      </x:c>
      <x:c r="E29" s="31" t="str">
        <x:v>C03</x:v>
      </x:c>
    </x:row>
    <x:row r="30" ht="15" hidden="0" customHeight="1">
      <x:c r="A30" s="31" t="str">
        <x:v>Reserva operativa instalada</x:v>
      </x:c>
      <x:c r="B30" s="31" t="n">
        <x:v>10</x:v>
      </x:c>
      <x:c r="C30" s="31" t="str">
        <x:v>dispositivos</x:v>
      </x:c>
      <x:c r="D30" s="31" t="str">
        <x:v>Crecimiento/rotación</x:v>
      </x:c>
      <x:c r="E30" s="31" t="str">
        <x:v>C03</x:v>
      </x:c>
    </x:row>
    <x:row r="31" ht="15" hidden="0" customHeight="1">
      <x:c r="A31" s="31" t="str">
        <x:v>Operación simultánea estimada</x:v>
      </x:c>
      <x:c r="B31" s="31" t="n">
        <x:f>SUM('Dimensionamiento'!B21:B30)</x:f>
        <x:v>160</x:v>
      </x:c>
      <x:c r="C31" s="31" t="str">
        <x:v>dispositivos</x:v>
      </x:c>
      <x:c r="D31" s="31" t="str">
        <x:v>SUMA B21:B30</x:v>
      </x:c>
      <x:c r="E31" s="31" t="str">
        <x:v>160</x:v>
      </x:c>
    </x:row>
    <x:row r="32" ht="15" hidden="0" customHeight="1">
      <x:c r="A32" s="31" t="str">
        <x:v>Stock terreno</x:v>
      </x:c>
      <x:c r="B32" s="43" t="n">
        <x:v>0.1</x:v>
      </x:c>
      <x:c r="C32" s="31" t="str"/>
      <x:c r="D32" s="31" t="str">
        <x:v>RT-08.4 exige 10%</x:v>
      </x:c>
      <x:c r="E32" s="31" t="str">
        <x:v>16 unidades</x:v>
      </x:c>
    </x:row>
    <x:row r="33" ht="15" hidden="0" customHeight="1">
      <x:c r="A33" s="31" t="str">
        <x:v>Tabletas totales</x:v>
      </x:c>
      <x:c r="B33" s="31" t="n">
        <x:f>ROUNDUP('Dimensionamiento'!B31*(1+'Dimensionamiento'!B32),0)</x:f>
        <x:v>176</x:v>
      </x:c>
      <x:c r="C33" s="31" t="str">
        <x:v>unidades</x:v>
      </x:c>
      <x:c r="D33" s="31" t="str">
        <x:v>REDONDEAR.MAS B31 x (1 + B32)</x:v>
      </x:c>
      <x:c r="E33" s="31" t="str">
        <x:v>176</x:v>
      </x:c>
    </x:row>
    <x:row r="34" ht="15" hidden="0" customHeight="1">
      <x:c r="A34" s="31" t="str">
        <x:v>Personas peak 3 años</x:v>
      </x:c>
      <x:c r="B34" s="31" t="n">
        <x:v>9000</x:v>
      </x:c>
      <x:c r="C34" s="31" t="str">
        <x:v>personas</x:v>
      </x:c>
      <x:c r="D34" s="31" t="str">
        <x:v>Bases del caso</x:v>
      </x:c>
      <x:c r="E34" s="31" t="str">
        <x:v>Credenciales</x:v>
      </x:c>
    </x:row>
    <x:row r="35" ht="15" hidden="0" customHeight="1">
      <x:c r="A35" s="31" t="str">
        <x:v>Credenciales con 10% reposición</x:v>
      </x:c>
      <x:c r="B35" s="31" t="n">
        <x:f>ROUNDUP('Dimensionamiento'!B34*1.1,0)</x:f>
        <x:v>9900</x:v>
      </x:c>
      <x:c r="C35" s="31" t="str">
        <x:v>unidades</x:v>
      </x:c>
      <x:c r="D35" s="31" t="str">
        <x:v>REDONDEAR.MAS B34 x 1,10</x:v>
      </x:c>
      <x:c r="E35" s="31" t="str">
        <x:v>9 900 credenciales</x:v>
      </x:c>
    </x:row>
    <x:row r="36" ht="15" hidden="0" customHeight="1">
      <x:c r="A36" s="31" t="str">
        <x:v>Instrumentos actuales</x:v>
      </x:c>
      <x:c r="B36" s="31" t="n">
        <x:v>186</x:v>
      </x:c>
      <x:c r="C36" s="31" t="str">
        <x:v>unidades</x:v>
      </x:c>
      <x:c r="D36" s="31" t="str">
        <x:v>Bases del caso</x:v>
      </x:c>
      <x:c r="E36" s="31" t="str">
        <x:v>Existentes</x:v>
      </x:c>
    </x:row>
    <x:row r="37" ht="15" hidden="0" customHeight="1">
      <x:c r="A37" s="31" t="str">
        <x:v>Instrumentos a 3 años</x:v>
      </x:c>
      <x:c r="B37" s="31" t="n">
        <x:v>230</x:v>
      </x:c>
      <x:c r="C37" s="31" t="str">
        <x:v>unidades</x:v>
      </x:c>
      <x:c r="D37" s="31" t="str">
        <x:v>Bases del caso</x:v>
      </x:c>
      <x:c r="E37" s="31" t="str">
        <x:v>Objetivo</x:v>
      </x:c>
    </x:row>
    <x:row r="38" ht="15" hidden="0" customHeight="1">
      <x:c r="A38" s="31" t="str">
        <x:v>Expansión neta</x:v>
      </x:c>
      <x:c r="B38" s="31" t="n">
        <x:f>'Dimensionamiento'!B37-'Dimensionamiento'!B36</x:f>
        <x:v>44</x:v>
      </x:c>
      <x:c r="C38" s="31" t="str">
        <x:v>unidades</x:v>
      </x:c>
      <x:c r="D38" s="31" t="str">
        <x:v>B37 - B36</x:v>
      </x:c>
      <x:c r="E38" s="31" t="str">
        <x:v>44</x:v>
      </x:c>
    </x:row>
    <x:row r="39" ht="15" hidden="0" customHeight="1">
      <x:c r="A39" s="31" t="str">
        <x:v>Repuesto instrumentación</x:v>
      </x:c>
      <x:c r="B39" s="31" t="n">
        <x:v>5</x:v>
      </x:c>
      <x:c r="C39" s="31" t="str">
        <x:v>unidades</x:v>
      </x:c>
      <x:c r="D39" s="31" t="str">
        <x:v>Redondeo &gt;10% expansión</x:v>
      </x:c>
      <x:c r="E39" s="31" t="str">
        <x:v>5</x:v>
      </x:c>
    </x:row>
    <x:row r="40" ht="15" hidden="0" customHeight="1">
      <x:c r="A40" s="32" t="str">
        <x:v>Instrumentos a adquirir</x:v>
      </x:c>
      <x:c r="B40" s="32" t="n">
        <x:f>'Dimensionamiento'!B38+'Dimensionamiento'!B39</x:f>
        <x:v>49</x:v>
      </x:c>
      <x:c r="C40" s="32" t="str">
        <x:v>unidades</x:v>
      </x:c>
      <x:c r="D40" s="32" t="str">
        <x:v>B38 + B39</x:v>
      </x:c>
      <x:c r="E40" s="32" t="str">
        <x:v>49</x:v>
      </x:c>
    </x:row>
  </x:sheetData>
  <x:mergeCells>
    <x:mergeCell ref="A1:E1"/>
    <x:mergeCell ref="A2:E2"/>
  </x:mergeCells>
  <x:conditionalFormatting sqref="A4:E41">
    <x:cfRule type="expression" dxfId="0" priority="1">
      <x:formula>ISFORMULA(B5)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40" hidden="0" customWidth="1"/>
    <x:col min="5" max="5" width="34" hidden="0" customWidth="1"/>
  </x:cols>
  <x:sheetData>
    <x:row r="1" ht="21.600000381469727" hidden="0" customHeight="1">
      <x:c r="A1" s="44" t="str">
        <x:v>MATRIZ DE RESPONSABILIDADES</x:v>
      </x:c>
      <x:c r="B1" s="44" t="str">
        <x:v>MATRIZ DE RESPONSABILIDADES</x:v>
      </x:c>
      <x:c r="C1" s="44" t="str">
        <x:v>MATRIZ DE RESPONSABILIDADES</x:v>
      </x:c>
      <x:c r="D1" s="44" t="str">
        <x:v>MATRIZ DE RESPONSABILIDADES</x:v>
      </x:c>
      <x:c r="E1" s="44" t="str">
        <x:v>MATRIZ DE RESPONSABILIDADES</x:v>
      </x:c>
    </x:row>
    <x:row r="2" ht="15" hidden="0" customHeight="1">
      <x:c r="A2" s="7" t="str">
        <x:v>Separación entre suministro OVERFORE, compra/obra CLIENTE e infraestructura existente</x:v>
      </x:c>
      <x:c r="B2" s="7" t="str">
        <x:v>Separación entre suministro OVERFORE, compra/obra CLIENTE e infraestructura existente</x:v>
      </x:c>
      <x:c r="C2" s="7" t="str">
        <x:v>Separación entre suministro OVERFORE, compra/obra CLIENTE e infraestructura existente</x:v>
      </x:c>
      <x:c r="D2" s="7" t="str">
        <x:v>Separación entre suministro OVERFORE, compra/obra CLIENTE e infraestructura existente</x:v>
      </x:c>
      <x:c r="E2" s="7" t="str">
        <x:v>Separación entre suministro OVERFORE, compra/obra CLIENTE e infraestructura existente</x:v>
      </x:c>
    </x:row>
    <x:row r="3" ht="15" hidden="0" customHeight="1">
      <x:c r="A3" s="45"/>
      <x:c r="B3" s="45"/>
      <x:c r="C3" s="45"/>
      <x:c r="D3" s="45"/>
      <x:c r="E3" s="45"/>
    </x:row>
    <x:row r="4" ht="15" hidden="0" customHeight="1">
      <x:c r="A4" s="22" t="str">
        <x:v>Ámbito</x:v>
      </x:c>
      <x:c r="B4" s="22" t="str">
        <x:v>OVERFORE</x:v>
      </x:c>
      <x:c r="C4" s="22" t="str">
        <x:v>CLIENTE</x:v>
      </x:c>
      <x:c r="D4" s="22" t="str">
        <x:v>Evidencia de aceptación</x:v>
      </x:c>
      <x:c r="E4" s="22" t="str">
        <x:v>Límite de alcance</x:v>
      </x:c>
    </x:row>
    <x:row r="5" ht="21.600000381469727" hidden="0" customHeight="1">
      <x:c r="A5" s="30" t="str">
        <x:v>Nube y software</x:v>
      </x:c>
      <x:c r="B5" s="30" t="str">
        <x:v>Contrata/configura durante 56 meses; IaC; licencias; soporte</x:v>
      </x:c>
      <x:c r="C5" s="30" t="str">
        <x:v>Aprueba suscripciones y recibe propiedad/administración</x:v>
      </x:c>
      <x:c r="D5" s="30" t="str">
        <x:v>Despliegue reproducible y cuentas a nombre del CLIENTE</x:v>
      </x:c>
      <x:c r="E5" s="30" t="str">
        <x:v>Costos se reflejan en oferta económica, no en T-11 técnico</x:v>
      </x:c>
    </x:row>
    <x:row r="6" ht="15" hidden="0" customHeight="1">
      <x:c r="A6" s="31" t="str">
        <x:v>Sala Faena/CIO</x:v>
      </x:c>
      <x:c r="B6" s="31" t="str">
        <x:v>Especifica, coordina, configura y prueba TI</x:v>
      </x:c>
      <x:c r="C6" s="31" t="str">
        <x:v>Proporciona espacio y ejecuta obra civil de separación</x:v>
      </x:c>
      <x:c r="D6" s="31" t="str">
        <x:v>Planos, certificaciones y pruebas</x:v>
      </x:c>
      <x:c r="E6" s="31" t="str">
        <x:v>RT-06.06</x:v>
      </x:c>
    </x:row>
    <x:row r="7" ht="15" hidden="0" customHeight="1">
      <x:c r="A7" s="31" t="str">
        <x:v>Hardware TI</x:v>
      </x:c>
      <x:c r="B7" s="31" t="str">
        <x:v>Provee servidores, red, seguridad, backup y edge</x:v>
      </x:c>
      <x:c r="C7" s="31" t="str">
        <x:v>Recibe activos y facilita instalación</x:v>
      </x:c>
      <x:c r="D7" s="31" t="str">
        <x:v>Inventario, seriales, garantía y pruebas HA</x:v>
      </x:c>
      <x:c r="E7" s="31" t="str">
        <x:v>Equipamiento nuevo</x:v>
      </x:c>
    </x:row>
    <x:row r="8" ht="15" hidden="0" customHeight="1">
      <x:c r="A8" s="31" t="str">
        <x:v>Hardware de terreno</x:v>
      </x:c>
      <x:c r="B8" s="31" t="str">
        <x:v>Especifica exactamente y entrega unidad de cada tipo para UAT</x:v>
      </x:c>
      <x:c r="C8" s="31" t="str">
        <x:v>Adquiere parque masivo</x:v>
      </x:c>
      <x:c r="D8" s="31" t="str">
        <x:v>Prueba de aceptación previa a compra masiva</x:v>
      </x:c>
      <x:c r="E8" s="31" t="str">
        <x:v>Cap. 11 del caso</x:v>
      </x:c>
    </x:row>
    <x:row r="9" ht="21.600000381469727" hidden="0" customHeight="1">
      <x:c r="A9" s="31" t="str">
        <x:v>Sistemas existentes</x:v>
      </x:c>
      <x:c r="B9" s="31" t="str">
        <x:v>Integra sin modificar lógica de control</x:v>
      </x:c>
      <x:c r="C9" s="31" t="str">
        <x:v>Mantiene contratos/calibraciones y entrega interfaces</x:v>
      </x:c>
      <x:c r="D9" s="31" t="str">
        <x:v>Pruebas de lectura y reconciliación</x:v>
      </x:c>
      <x:c r="E9" s="31" t="str">
        <x:v>ERP, despacho, LIMS, planificación, historiador se mantienen</x:v>
      </x:c>
    </x:row>
    <x:row r="10" ht="15" hidden="0" customHeight="1">
      <x:c r="A10" s="31" t="str">
        <x:v>Red del rajo</x:v>
      </x:c>
      <x:c r="B10" s="31" t="str">
        <x:v>Realiza estudio RF y especifica brechas</x:v>
      </x:c>
      <x:c r="C10" s="31" t="str">
        <x:v>Ejecuta construcción/ampliación si se aprueba</x:v>
      </x:c>
      <x:c r="D10" s="31" t="str">
        <x:v>Mapa de cobertura y pruebas</x:v>
      </x:c>
      <x:c r="E10" s="31" t="str">
        <x:v>Construcción de red del rajo excluida</x:v>
      </x:c>
    </x:row>
    <x:row r="11" ht="15" hidden="0" customHeight="1">
      <x:c r="A11" s="32" t="str">
        <x:v>Operación y ciclo de vida</x:v>
      </x:c>
      <x:c r="B11" s="32" t="str">
        <x:v>Monitorea, parchea, mantiene stock y coordina disposición</x:v>
      </x:c>
      <x:c r="C11" s="32" t="str">
        <x:v>Autoriza ventanas y custodía activos</x:v>
      </x:c>
      <x:c r="D11" s="32" t="str">
        <x:v>SLA, certificados de borrado/disposición</x:v>
      </x:c>
      <x:c r="E11" s="32" t="str">
        <x:v>56 meses contractuales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52" hidden="0" customWidth="1"/>
    <x:col min="3" max="3" width="100" hidden="0" customWidth="1"/>
  </x:cols>
  <x:sheetData>
    <x:row r="1" ht="21.600000381469727" hidden="0" customHeight="1">
      <x:c r="A1" s="44" t="str">
        <x:v>FUENTES Y TRAZABILIDAD</x:v>
      </x:c>
      <x:c r="B1" s="44" t="str">
        <x:v>FUENTES Y TRAZABILIDAD</x:v>
      </x:c>
      <x:c r="C1" s="44" t="str">
        <x:v>FUENTES Y TRAZABILIDAD</x:v>
      </x:c>
    </x:row>
    <x:row r="2" ht="15" hidden="0" customHeight="1">
      <x:c r="A2" s="7" t="str">
        <x:v>Documentos del equipo y fuentes técnicas consultadas</x:v>
      </x:c>
      <x:c r="B2" s="7" t="str">
        <x:v>Documentos del equipo y fuentes técnicas consultadas</x:v>
      </x:c>
      <x:c r="C2" s="7" t="str">
        <x:v>Documentos del equipo y fuentes técnicas consultadas</x:v>
      </x:c>
    </x:row>
    <x:row r="3" ht="15" hidden="0" customHeight="1">
      <x:c r="A3" s="45"/>
      <x:c r="B3" s="45"/>
      <x:c r="C3" s="45"/>
    </x:row>
    <x:row r="4" ht="15" hidden="0" customHeight="1">
      <x:c r="A4" s="22" t="str">
        <x:v>Fuente</x:v>
      </x:c>
      <x:c r="B4" s="22" t="str">
        <x:v>Uso</x:v>
      </x:c>
      <x:c r="C4" s="22" t="str">
        <x:v>Ruta / URL</x:v>
      </x:c>
    </x:row>
    <x:row r="5" ht="15" hidden="0" customHeight="1">
      <x:c r="A5" s="30" t="str">
        <x:v>Bases Administrativas TFEP-01/2026</x:v>
      </x:c>
      <x:c r="B5" s="30" t="str">
        <x:v>Formato oficial T-11 y prohibición de precios en formularios técnicos</x:v>
      </x:c>
      <x:c r="C5" s="30" t="str">
        <x:v>FEP01.26 Bases Administrativas TFEP-01-2026-3 (1).pdf, págs. 55, 62 y 66</x:v>
      </x:c>
    </x:row>
    <x:row r="6" ht="15" hidden="0" customHeight="1">
      <x:c r="A6" s="31" t="str">
        <x:v>Bases Técnicas Transversales</x:v>
      </x:c>
      <x:c r="B6" s="31" t="str">
        <x:v>Nube/on-premise, site, DR, hardware, terreno y ciclo de vida</x:v>
      </x:c>
      <x:c r="C6" s="31" t="str">
        <x:v>FEP02.26 Bases Tecnicas Transversales TFEP-01-2026 (1).pdf, caps. 6-8</x:v>
      </x:c>
    </x:row>
    <x:row r="7" ht="15" hidden="0" customHeight="1">
      <x:c r="A7" s="31" t="str">
        <x:v>Caso 01 Minería</x:v>
      </x:c>
      <x:c r="B7" s="31" t="str">
        <x:v>Sitios, volumetría, restricciones y equipos existentes</x:v>
      </x:c>
      <x:c r="C7" s="31" t="str">
        <x:v>FEP03.01.26 Caso 01 - Mineria (Bases Tecnicas del Caso)-ocr.pdf</x:v>
      </x:c>
    </x:row>
    <x:row r="8" ht="15" hidden="0" customHeight="1">
      <x:c r="A8" s="31" t="str">
        <x:v>Subdoc. 4.1 v4.2</x:v>
      </x:c>
      <x:c r="B8" s="31" t="str">
        <x:v>C01-C22, interfaces y restricciones TI/TO</x:v>
      </x:c>
      <x:c r="C8" s="31" t="str">
        <x:v>subdoc4.1 arquitectura logica/Subdoc4.1_ArquitecturaLogica_Overfore_v4.2.md</x:v>
      </x:c>
    </x:row>
    <x:row r="9" ht="15" hidden="0" customHeight="1">
      <x:c r="A9" s="31" t="str">
        <x:v>Subdoc. 5 v2.1</x:v>
      </x:c>
      <x:c r="B9" s="31" t="str">
        <x:v>Motores de datos, retención y ancho de banda</x:v>
      </x:c>
      <x:c r="C9" s="31" t="str">
        <x:v>subdoc5 datos/Subdoc5_ModeloGestionDatos_Overfore_v2.1.docx</x:v>
      </x:c>
    </x:row>
    <x:row r="10" ht="15" hidden="0" customHeight="1">
      <x:c r="A10" s="31" t="str">
        <x:v>Matriz distribución v1.0</x:v>
      </x:c>
      <x:c r="B10" s="31" t="str">
        <x:v>Autoridad de emplazamiento nube-Faena-CIO</x:v>
      </x:c>
      <x:c r="C10" s="31" t="str">
        <x:v>Matriz_Distribucion_Nube_Faena_CIO_Overfore_v1.0.xlsx</x:v>
      </x:c>
    </x:row>
    <x:row r="11" ht="15" hidden="0" customHeight="1">
      <x:c r="A11" s="31" t="str">
        <x:v>Microsoft Azure Regions</x:v>
      </x:c>
      <x:c r="B11" s="31" t="str">
        <x:v>Chile Central y Brazil South</x:v>
      </x:c>
      <x:c r="C11" s="31" t="str">
        <x:v>https://learn.microsoft.com/azure/reliability/regions-list</x:v>
      </x:c>
    </x:row>
    <x:row r="12" ht="15" hidden="0" customHeight="1">
      <x:c r="A12" s="31" t="str">
        <x:v>Dell PowerEdge XR4000</x:v>
      </x:c>
      <x:c r="B12" s="31" t="str">
        <x:v>Referencia servidor edge</x:v>
      </x:c>
      <x:c r="C12" s="31" t="str">
        <x:v>https://www.dell.com/support/product-details/en-us/product/poweredge-xr4000/docs</x:v>
      </x:c>
    </x:row>
    <x:row r="13" ht="15" hidden="0" customHeight="1">
      <x:c r="A13" s="31" t="str">
        <x:v>Cisco Catalyst IE3400</x:v>
      </x:c>
      <x:c r="B13" s="31" t="str">
        <x:v>Referencia switch industrial</x:v>
      </x:c>
      <x:c r="C13" s="31" t="str">
        <x:v>https://www.cisco.com/c/en/us/products/switches/catalyst-ie3400-rugged-series/index.html</x:v>
      </x:c>
    </x:row>
    <x:row r="14" ht="15" hidden="0" customHeight="1">
      <x:c r="A14" s="31" t="str">
        <x:v>Cisco Catalyst IR1101</x:v>
      </x:c>
      <x:c r="B14" s="31" t="str">
        <x:v>Referencia router industrial</x:v>
      </x:c>
      <x:c r="C14" s="31" t="str">
        <x:v>https://www.cisco.com/c/en/us/products/routers/catalyst-ir1101-rugged-series-router/index.html</x:v>
      </x:c>
    </x:row>
    <x:row r="15" ht="15" hidden="0" customHeight="1">
      <x:c r="A15" s="32" t="str">
        <x:v>Zebra ET8x</x:v>
      </x:c>
      <x:c r="B15" s="32" t="str">
        <x:v>Referencia tableta rugerizada</x:v>
      </x:c>
      <x:c r="C15" s="32" t="str">
        <x:v>https://www.zebra.com/us/en/products/spec-sheets/tablets/et8x.html</x:v>
      </x:c>
    </x:row>
  </x:sheetData>
  <x:mergeCells>
    <x:mergeCell ref="A1:C1"/>
    <x:mergeCell ref="A2:C2"/>
  </x:mergeCells>
  <x:pageMargins left="0.7" right="0.7" top="0.75" bottom="0.75" header="0.3" footer="0.3"/>
</x:worksheet>
</file>